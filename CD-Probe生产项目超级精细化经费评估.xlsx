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fbf4d3276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05e9a7f0382241c8"/>
    <x:sheet xmlns:r="http://schemas.openxmlformats.org/officeDocument/2006/relationships" name="01_执行摘要" sheetId="2" r:id="Rb6c44042dd5741cb"/>
    <x:sheet xmlns:r="http://schemas.openxmlformats.org/officeDocument/2006/relationships" name="02_假设与情景" sheetId="3" r:id="Rb3240f82438149f3"/>
    <x:sheet xmlns:r="http://schemas.openxmlformats.org/officeDocument/2006/relationships" name="03_CAPEX建设设备" sheetId="4" r:id="Rc74ccf9ce1534271"/>
    <x:sheet xmlns:r="http://schemas.openxmlformats.org/officeDocument/2006/relationships" name="04_OPEX年度运营" sheetId="5" r:id="R884034da157f4c69"/>
    <x:sheet xmlns:r="http://schemas.openxmlformats.org/officeDocument/2006/relationships" name="05_原辅料BOM" sheetId="6" r:id="Rb841425cd7714425"/>
    <x:sheet xmlns:r="http://schemas.openxmlformats.org/officeDocument/2006/relationships" name="06_替代品矩阵" sheetId="7" r:id="Rd48efc1951c64783"/>
    <x:sheet xmlns:r="http://schemas.openxmlformats.org/officeDocument/2006/relationships" name="07_历史价格" sheetId="8" r:id="R60dbbd4d8c3c40e3"/>
    <x:sheet xmlns:r="http://schemas.openxmlformats.org/officeDocument/2006/relationships" name="08_现金流敏感性" sheetId="9" r:id="R31e14c78dc804c7f"/>
    <x:sheet xmlns:r="http://schemas.openxmlformats.org/officeDocument/2006/relationships" name="09_来源审计" sheetId="10" r:id="Rf0f372f4944b45c0"/>
    <x:sheet xmlns:r="http://schemas.openxmlformats.org/officeDocument/2006/relationships" name="10_检查" sheetId="11" r:id="Rf7a176a7e7d94f5c"/>
    <x:sheet xmlns:r="http://schemas.openxmlformats.org/officeDocument/2006/relationships" name="11_最终分子设计" sheetId="12" r:id="R6ef7289a47b7444b"/>
    <x:sheet xmlns:r="http://schemas.openxmlformats.org/officeDocument/2006/relationships" name="13_七管配方" sheetId="13" r:id="Rc81ebb72e5664d2b"/>
    <x:sheet xmlns:r="http://schemas.openxmlformats.org/officeDocument/2006/relationships" name="12_方案推荐" sheetId="14" r:id="R975da13ae5d44e40"/>
  </x:sheets>
</x:workbook>
</file>

<file path=xl/comments1.xml><?xml version="1.0" encoding="utf-8"?>
<x:comments xmlns:x="http://schemas.openxmlformats.org/spreadsheetml/2006/main">
  <x:authors>
    <x:author>tc={FECF9E0C-CA1A-2CC7-29A2-033E479BCCB0}</x:author>
    <x:author>tc={A7C7E930-1487-0DFC-8371-B33DFCD612B5}</x:author>
    <x:author>tc={7A4AF71F-FF9F-8D15-D221-6A120CDA3139}</x:author>
    <x:author>tc={70D8F4F8-CFA0-DA07-A61B-904F867E3861}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A-002 | Engineering input | Ratio on 0-1 scale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A-003 | Engineering input | Ratio on 0-1 scale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A-004 | Low-maturity project contingency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A-005 | Annual operating price/batch contingency</x:t>
        </x:r>
      </x:text>
    </x:comment>
  </x:commentList>
</x:comments>
</file>

<file path=xl/comments2.xml><?xml version="1.0" encoding="utf-8"?>
<x:comments xmlns:x="http://schemas.openxmlformats.org/spreadsheetml/2006/main">
  <x:authors>
    <x:author>tc={C2D3F724-1BBA-413A-586B-4B4A8EF70216}</x:author>
    <x:author>tc={A04A42D0-4D75-A414-DE11-276C718C116B}</x:author>
    <x:author>tc={945F44C8-B93F-2582-4160-B39A902D29EE}</x:author>
    <x:author>tc={FF383134-18CC-E124-483E-97B8154B5353}</x:author>
    <x:author>tc={0E4A437D-AE66-A210-EC33-3575D8032E44}</x:author>
    <x:author>tc={55816C90-FB85-B47B-A597-847D1616E3E0}</x:author>
    <x:author>tc={C511F8D7-FBF4-0563-53D0-7F10303E2678}</x:author>
    <x:author>tc={A86CF875-1CF1-0ADC-7C09-B097A023D611}</x:author>
    <x:author>tc={DA628D86-0694-D4FF-E5A2-B146D59BEC1E}</x:author>
    <x:author>tc={66BABE2D-AAA4-7591-F49D-675BAD9D7CE9}</x:author>
    <x:author>tc={067A5FBA-5654-BABD-875E-7991CB3CE649}</x:author>
    <x:author>tc={8C98020C-14F0-9DFA-1C39-AA589B4B7372}</x:author>
    <x:author>tc={4F9F3420-87FF-9C08-EDA5-C94CD9A66BEC}</x:author>
    <x:author>tc={59811B86-047B-C674-2EAB-D17C17C1D7C1}</x:author>
    <x:author>tc={BDCD3988-E039-7779-3D32-C3848EDAB509}</x:author>
    <x:author>tc={25203868-DA7B-5AA3-6835-B9719D13216A}</x:author>
    <x:author>tc={EB528BE6-6AB5-FBB1-68D7-85F26B68D6B2}</x:author>
    <x:author>tc={186823D9-49F2-8916-BC94-031B5D4AEE6D}</x:author>
    <x:author>tc={D0871B85-CE52-02C3-5202-DD0322EA32D1}</x:author>
    <x:author>tc={9DFE28AB-484D-2933-162B-4B2540E73DE2}</x:author>
    <x:author>tc={24061B64-82CC-86B6-ACE7-BE009DB8E3CF}</x:author>
    <x:author>tc={16B5D265-81C6-E48F-12E3-98963B4DF564}</x:author>
    <x:author>tc={47238592-15E3-EDCF-BD90-7D86E94A2F66}</x:author>
    <x:author>tc={4EE582B3-556D-6B9F-4BCD-871656B1A4FC}</x:author>
    <x:author>tc={3AA72C23-4467-DCA4-70F5-324880EC6453}</x:author>
    <x:author>tc={35CEE482-BE04-A662-8004-AC7754E8A8F9}</x:author>
    <x:author>tc={6BB229A3-565B-D4DC-855A-1F95E7B1BFDD}</x:author>
    <x:author>tc={F8F08EB8-E976-C441-C217-C9185EF78F43}</x:author>
    <x:author>tc={5C2502CC-9B5F-CC5D-A9B5-2CE97A55C00E}</x:author>
    <x:author>tc={B33E3BDC-77B4-6444-F744-E5EC1830EE65}</x:author>
    <x:author>tc={939EA39B-05DA-5913-56DB-4E379A6CC4DC}</x:author>
    <x:author>tc={8362D340-225A-9DED-9BB6-3D040C932F43}</x:author>
    <x:author>tc={A569B205-09BA-6209-A106-7821036CE837}</x:author>
    <x:author>tc={6E142A3F-76AE-CF2D-65A3-036DF227D257}</x:author>
    <x:author>tc={7ACBD88B-16C4-E8C8-4074-215AE5411EAD}</x:author>
    <x:author>tc={1E7FAC47-1F36-76AD-4F5A-C960DC04F378}</x:author>
    <x:author>tc={9C710EE2-AE7F-EA7E-D0F7-0566761893DC}</x:author>
    <x:author>tc={2FD7075D-480D-C390-8BF1-769DA8C88BA2}</x:author>
    <x:author>tc={E6F94BB2-9882-5707-892A-06CB550B45CC}</x:author>
    <x:author>tc={24120289-872C-03B1-99A6-298A3BB61A7C}</x:author>
    <x:author>tc={C72030E5-5F04-0E00-6795-F63CE2E493D3}</x:author>
    <x:author>tc={9D57A8EF-03A9-399C-8DD5-2F26E60B2AED}</x:author>
    <x:author>tc={A1411366-A5C5-D0BC-B312-2F9E7B7875C3}</x:author>
    <x:author>tc={1E98248F-8BED-0D39-D945-01D831A64910}</x:author>
    <x:author>tc={9515705F-5F83-6761-3139-66FDD4661E47}</x:author>
    <x:author>tc={0C2276D1-D042-6F1F-1971-2E9EF2495CCF}</x:author>
    <x:author>tc={9EDFA447-A44C-A349-FA2E-6F473AE515B0}</x:author>
    <x:author>tc={6CEB55F3-55CE-E98D-A8C3-5D9173BC311F}</x:author>
    <x:author>tc={EE207C58-A6A4-CF37-3554-B1DCDA6369C7}</x:author>
    <x:author>tc={235AD758-EE44-025A-F0C7-01093954B43F}</x:author>
    <x:author>tc={3798B103-4ABC-AF30-219F-343FFEA02F97}</x:author>
    <x:author>tc={48EF8565-8429-0544-7773-2450B86DBA77}</x:author>
  </x:authors>
  <x:commentList>
    <x:comment ref="P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SRC-015,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SRC-017,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SRC-017,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SRC-026,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SRC-027,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SRC-024,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SRC-024,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SRC-024,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SRC-024,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SRC-023,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3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SRC-025,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SRC-025,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SRC-025,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SRC-019 | As of: 2026-08-17 | Basis: 含税到厂价 | Historical: 2025 CFX Duet成交区间；2024按PPI回推 | Quote status: 公开价格锚点；正式采购仍需同规格、同税费和服务范围询价</x:t>
        </x:r>
      </x:text>
    </x:comment>
    <x:comment ref="P4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SRC-020 | As of: 2026-08-17 | Basis: 含税到厂价 | Historical: Synergy H1成交区间；2024公开预算80万元用于高配上限交叉验证 | Quote status: 公开价格锚点；正式采购仍需同规格、同税费和服务范围询价</x:t>
        </x:r>
      </x:text>
    </x:comment>
    <x:comment ref="P4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SRC-021 | As of: 2026-08-17 | Basis: 含税到厂价 | Historical: 2025 Nano-500市场区间；2024按PPI回推 | Quote status: 公开价格锚点；正式采购仍需同规格、同税费和服务范围询价</x:t>
        </x:r>
      </x:text>
    </x:comment>
    <x:comment ref="P4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SRC-022 | As of: 2026-08-17 | Basis: 含税到厂价 | Historical: 2025采购预算/限价；2024按PPI回推 | Quote status: 公开价格锚点；正式采购仍需同规格、同税费和服务范围询价</x:t>
        </x:r>
      </x:text>
    </x:comment>
    <x:comment ref="P45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9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SRC-023 | As of: 2026-08-17 | Basis: 含税到厂价 | Historical: 当前公开价结合PPI回推 | Quote status: 公开价格锚点；正式采购仍需同规格、同税费和服务范围询价</x:t>
        </x:r>
      </x:text>
    </x:comment>
    <x:comment ref="P5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1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5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57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</x:commentList>
</x:comments>
</file>

<file path=xl/comments3.xml><?xml version="1.0" encoding="utf-8"?>
<x:comments xmlns:x="http://schemas.openxmlformats.org/spreadsheetml/2006/main">
  <x:authors>
    <x:author>tc={BA9933EF-3C11-6506-CB83-6D89CB2947AE}</x:author>
    <x:author>tc={AA0114A6-E870-EFF9-9A55-7AF84D3827E1}</x:author>
    <x:author>tc={95AF4CDE-4388-47B6-D31F-146AFBDC54EE}</x:author>
    <x:author>tc={93D91F94-C93A-B58C-B4BF-7CCB68E91EC1}</x:author>
    <x:author>tc={0CA3B694-5DA4-A052-09A8-B2B2D898777C}</x:author>
    <x:author>tc={2C7C0D00-56B4-7BED-4D62-3B69C52002D9}</x:author>
    <x:author>tc={29661E4A-78F0-BAEC-AC4E-43B83EE13DAA}</x:author>
    <x:author>tc={303C069B-001A-7A7E-7D51-4ACFE3CA4C26}</x:author>
    <x:author>tc={3B5FC00E-9338-E37A-022B-47ED2D904FF1}</x:author>
    <x:author>tc={615FC7BA-3525-E029-6373-CE8BDE51E996}</x:author>
    <x:author>tc={939642A7-7ABC-8593-3F85-957AC1DA1EFF}</x:author>
    <x:author>tc={0469A38F-D8DD-EBFE-9D04-D1E1B35D5782}</x:author>
    <x:author>tc={CC774608-6D59-E45F-7410-212BED934AAD}</x:author>
    <x:author>tc={0BBDCA02-6F63-A243-77CC-4574D423C7A0}</x:author>
    <x:author>tc={5C9FC42E-9FD5-8659-0317-2DEA4A2BE0CA}</x:author>
    <x:author>tc={5BF43596-EA1C-FBFB-F531-3A628B791CAF}</x:author>
    <x:author>tc={2D038001-8CEE-F915-5D3C-3DAF11D1253F}</x:author>
    <x:author>tc={506737C0-EC0D-2D9F-D27C-4AD7C921CD8B}</x:author>
    <x:author>tc={569ECEED-AE7B-7D41-078D-E7151B83B0CA}</x:author>
    <x:author>tc={7267730D-7120-E131-A139-AA0621B36D47}</x:author>
    <x:author>tc={F7943F09-E86E-1221-08AE-5BB30F3D1D13}</x:author>
    <x:author>tc={90AE9C5C-77C0-9FD1-FD19-7FB2ADDA767E}</x:author>
    <x:author>tc={5B312B11-540C-9074-88E5-677133F78DCA}</x:author>
    <x:author>tc={C6C6488C-B783-7107-864D-EBC30BB1096C}</x:author>
    <x:author>tc={8E190442-5564-2BAB-0970-F60BFEABA79A}</x:author>
    <x:author>tc={A60D6C9A-314A-1929-5A7D-439A949D6D7A}</x:author>
    <x:author>tc={481D0C26-E5CC-D457-0C6A-C60544563DA0}</x:author>
    <x:author>tc={20BF87A3-0931-3CB6-4F69-0C7F7375AC69}</x:author>
    <x:author>tc={AE774965-15E5-09B1-A280-6DFB47D7ADC8}</x:author>
    <x:author>tc={C583F0DA-41E9-2492-A335-4B6EC54D894E}</x:author>
    <x:author>tc={47323E30-D7A4-28AA-0A00-CD058CDDA45E}</x:author>
  </x:authors>
  <x:commentList>
    <x:comment ref="P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SRC-015 | As of: 2026-08-17 | Basis: 含税到厂价 | Historical: 2024园区公开租金；2025按5%市场增长估算 | Quote status: 公开价格锚点；正式采购仍需同规格、同税费和服务范围询价</x:t>
        </x:r>
      </x:text>
    </x:comment>
    <x:comment ref="P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SRC-013, SRC-014 | As of: 2026-08-17 | Basis: 含税到厂价 | Historical: 成都工资统计结合岗位系数 | Quote status: 公开价格锚点；正式采购仍需同规格、同税费和服务范围询价</x:t>
        </x:r>
      </x:text>
    </x:comment>
    <x:comment ref="P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SRC-016 | As of: 2026-08-17 | Basis: 含税到厂价 | Historical: 2025天府新区非居民水价；2024按低位回推 | Quote status: 公开价格锚点；正式采购仍需同规格、同税费和服务范围询价</x:t>
        </x:r>
      </x:text>
    </x:comment>
    <x:comment ref="P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SRC-012 | As of: 2026-08-17 | Basis: 含税到厂价 | Historical: 四川2025工商业均价；2024按市场均值回推 | Quote status: 公开价格锚点；正式采购仍需同规格、同税费和服务范围询价</x:t>
        </x:r>
      </x:text>
    </x:comment>
    <x:comment ref="P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SRC-012 | As of: 2026-08-17 | Basis: 含税到厂价 | Historical: 四川2025工商业均价；2024按市场均值回推 | Quote status: 公开价格锚点；正式采购仍需同规格、同税费和服务范围询价</x:t>
        </x:r>
      </x:text>
    </x:comment>
    <x:comment ref="P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SRC-012 | As of: 2026-08-17 | Basis: 含税到厂价 | Historical: 四川2025工商业均价；2024按市场均值回推 | Quote status: 公开价格锚点；正式采购仍需同规格、同税费和服务范围询价</x:t>
        </x:r>
      </x:text>
    </x:comment>
    <x:comment ref="P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SRC-027,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SRC-006,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SRC-006,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2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</x:commentList>
</x:comments>
</file>

<file path=xl/comments4.xml><?xml version="1.0" encoding="utf-8"?>
<x:comments xmlns:x="http://schemas.openxmlformats.org/spreadsheetml/2006/main">
  <x:authors>
    <x:author>tc={2FF5EA3D-D9E5-057C-F07C-4C3E1712E323}</x:author>
    <x:author>tc={AFED8E27-3579-5894-87C8-2F679E657D17}</x:author>
    <x:author>tc={48EBB599-8F1C-77C9-A961-78B134D415BC}</x:author>
    <x:author>tc={321998B0-8EA0-AFD3-2B09-43A49AF67BF2}</x:author>
    <x:author>tc={FDE695A9-50D4-046A-BD63-BBE15F98EE99}</x:author>
    <x:author>tc={D341656F-D022-6EEA-2EBB-E803792232CD}</x:author>
    <x:author>tc={ECC1EA0D-6562-0897-ADB5-98702390BDA9}</x:author>
    <x:author>tc={ED6EEBAB-EB9E-FCD8-E221-6699B16CF223}</x:author>
    <x:author>tc={0FA55665-BF79-0CE1-43F0-8714A22AB3CF}</x:author>
    <x:author>tc={BF3A1737-25D6-1339-951E-0343666889B8}</x:author>
    <x:author>tc={CE93FFB3-9BF1-FA68-28E2-7933E478B6DC}</x:author>
    <x:author>tc={21405C33-95A5-8B7F-3E60-5AC9A047E82B}</x:author>
    <x:author>tc={78E6E8C4-2001-8E63-5287-6704B87AD111}</x:author>
    <x:author>tc={29AF31C4-3804-4F94-E4A6-F2AFB4048755}</x:author>
    <x:author>tc={D28C6B9C-370B-5F33-42A7-90B51510448A}</x:author>
    <x:author>tc={3855362F-C67C-9F41-3469-C8AF2C4A586E}</x:author>
    <x:author>tc={D7E5B64C-E847-B731-FDBD-6A527BFFB4A7}</x:author>
    <x:author>tc={9EFF8E8A-DB6F-EA61-6385-08CF6FAEECD9}</x:author>
    <x:author>tc={074A9B17-7896-BE10-F5C8-67F1F5008EC8}</x:author>
    <x:author>tc={C510AEC2-BA7C-8209-1B43-45C645EB6F63}</x:author>
    <x:author>tc={DD7BC0EA-BA7B-54FB-4140-F872F9377C5C}</x:author>
    <x:author>tc={ACCD5736-A151-7A49-D39A-D0B3231201E6}</x:author>
    <x:author>tc={B7F4E1F3-92E0-844D-E9FF-F5E6A464AEAE}</x:author>
    <x:author>tc={28CD89F8-968A-EC2E-40E9-C98C538D6A58}</x:author>
    <x:author>tc={03AB4212-4378-5DA1-BB3D-CE5311DC533B}</x:author>
    <x:author>tc={5C31CDA2-77A5-64ED-BDA1-187505AB4FA1}</x:author>
    <x:author>tc={FAD54B14-E4A0-6498-3122-F76FA7436B3E}</x:author>
    <x:author>tc={86836EBD-2E97-0923-9F50-95171C635868}</x:author>
    <x:author>tc={50003DDB-98F3-6C00-C5F5-60510CFC84A8}</x:author>
    <x:author>tc={4BC8FCA3-6842-F07B-6DF3-328BADC0797F}</x:author>
    <x:author>tc={BDAF229A-694C-F95F-24E0-9A5290868106}</x:author>
    <x:author>tc={DC8BD426-867A-07E8-D334-DDD5D9C12330}</x:author>
    <x:author>tc={7079BC1E-2DCA-CA2E-F00D-34D7BAF967A0}</x:author>
    <x:author>tc={2A86938B-2AD4-290D-0D60-35EF0BF38F32}</x:author>
    <x:author>tc={DEEC3B1A-2134-47A9-3D98-C9BEE4B81894}</x:author>
    <x:author>tc={58EBEC56-EFED-9BB4-2FBC-B615E7A3301B}</x:author>
    <x:author>tc={2116CF35-31F6-0B7A-C79D-DF8A13E5BEA7}</x:author>
    <x:author>tc={C7F958DB-FFD3-9179-6C23-65519E44AD9C}</x:author>
    <x:author>tc={3D8C432E-2681-B4C2-234C-8B6A2EEDFAC5}</x:author>
    <x:author>tc={EE59545F-6A71-46D8-2CCA-70E724689504}</x:author>
    <x:author>tc={3E22E8EA-5916-ADCB-9E51-C36367E767B7}</x:author>
    <x:author>tc={98E148B2-26A3-6AA5-8898-D51D98B24F5D}</x:author>
    <x:author>tc={85B8B9B9-EBD4-9A1A-4A55-F21E446AD7C9}</x:author>
  </x:authors>
  <x:commentList>
    <x:comment ref="P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SRC-033, SRC-034, SRC-035, SRC-036 | As of: 2026-08-17 | Basis: 10 OD等效预算代理（CNY） | Historical: 页面未标有效期；2024/2025沿用当前10 OD等效预算代理；Thermo/GenScript均无最终双BH​​Q精确组合价 | Quote status: 需正式询价；当前值仅作10 OD等效预算代理</x:t>
        </x:r>
      </x:text>
    </x:comment>
    <x:comment ref="P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SRC-033, SRC-034, SRC-035, SRC-036 | As of: 2026-08-17 | Basis: 10 OD等效预算代理（CNY） | Historical: 页面未标有效期；2024/2025沿用当前10 OD等效预算代理；最终5′ROX/3′FAM无精确组合价 | Quote status: 需正式询价；当前值仅作10 OD等效预算代理</x:t>
        </x:r>
      </x:text>
    </x:comment>
    <x:comment ref="P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SRC-033, SRC-034, SRC-035, SRC-036 | As of: 2026-08-17 | Basis: 10 OD等效预算代理（CNY） | Historical: 页面未标有效期；2024/2025沿用当前10 OD等效预算代理；最终5′BHQ2无精确组合价 | Quote status: 需正式询价；当前值仅作10 OD等效预算代理</x:t>
        </x:r>
      </x:text>
    </x:comment>
    <x:comment ref="P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SRC-034, SRC-035, SRC-036 | As of: 2026-08-17 | Basis: 不计费 | Historical: 不适用；旧流程与最终分子设计冲突 | Quote status: 不计费；旧第六链冲突占位</x:t>
        </x:r>
      </x:text>
    </x:comment>
    <x:comment ref="P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SRC-031, SRC-034, SRC-035 | As of: 2026-08-17 | Basis: 年度服务批预算代理（CNY） | Historical: 当前公开区间基准；2025按2026年6月PPI同比+4.1%回推，2024按2025上半年PPI-2.8%回推 | Quote status: 需正式询价；当前值为定制构建/扩增批预算代理</x:t>
        </x:r>
      </x:text>
    </x:comment>
    <x:comment ref="P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SRC-031, SRC-034, SRC-035 | As of: 2026-08-17 | Basis: 年度服务批预算代理（CNY） | Historical: 当前公开区间基准；2025按2026年6月PPI同比+4.1%回推，2024按2025上半年PPI-2.8%回推 | Quote status: 需正式询价；当前值为定制构建/扩增批预算代理</x:t>
        </x:r>
      </x:text>
    </x:comment>
    <x:comment ref="P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SRC-007,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SRC-008, SRC-030,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SRC-029,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SRC-029,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SRC-029, SRC-031, SRC-009, SRC-010, SRC-011 | As of: 2026-08-17 | Basis: 高纯级原料预算锚点（CNY/kg） | Historical: 当前公开区间基准；2025按2026年6月PPI同比+4.1%回推，2024按2025上半年PPI-2.8%回推 | Quote status: 公开规格锚点；正式采购需确认分子生物学级、COA、税运和MOQ</x:t>
        </x:r>
      </x:text>
    </x:comment>
    <x:comment ref="P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SRC-029,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2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3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SRC-006,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SRC-007, SRC-008,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3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3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:t>
        </x:r>
      </x:text>
    </x:comment>
    <x:comment ref="P4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:t>
        </x:r>
      </x:text>
    </x:comment>
    <x:comment ref="P4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5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:t>
        </x:r>
      </x:text>
    </x:comment>
    <x:comment ref="P4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IDs: SRC-009, SRC-010, SRC-011, SRC-029, SRC-031, SRC-034, SRC-035 | As of: 2026-08-17 | Basis: 分子生物学级原料预算锚点（CNY/L） | Historical: undefined | Quote status: 公开规格锚点；正式采购需确认低荧光/低核酸酶、COA、税运和MOQ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#,##0;[Red](#,##0);-"/>
    <x:numFmt numFmtId="202" formatCode="0.0"/>
    <x:numFmt numFmtId="203" formatCode="¥#,##0;[Red](¥#,##0);-"/>
    <x:numFmt numFmtId="204" formatCode="#,##0.00;[Red](#,##0.00);-"/>
    <x:numFmt numFmtId="205" formatCode="¥#,##0.00;[Red](¥#,##0.00);-"/>
    <x:numFmt numFmtId="206" formatCode="0.00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7474F"/>
      <x:name val="Carlito"/>
    </x:font>
    <x:font>
      <x:b/>
      <x:sz val="11"/>
      <x:color rgb="FFFFFFFF"/>
      <x:name val="Carlito"/>
    </x:font>
    <x:font>
      <x:b/>
      <x:sz val="11"/>
      <x:color rgb="FF37474F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7A4E00"/>
      <x:name val="Carlito"/>
    </x:font>
    <x:font>
      <x:sz val="11"/>
      <x:color rgb="FFC62828"/>
      <x:name val="Carlito"/>
    </x:font>
    <x:font>
      <x:b/>
      <x:sz val="11"/>
      <x:color rgb="FF00796B"/>
      <x:name val="Carlito"/>
    </x:font>
    <x:font>
      <x:b/>
      <x:sz val="11"/>
      <x:color rgb="FF000000"/>
      <x:name val="Carlito"/>
    </x:font>
    <x:font>
      <x:sz val="9"/>
      <x:color rgb="FF37474F"/>
      <x:name val="Carlito"/>
    </x:font>
    <x:font>
      <x:sz val="11"/>
      <x:color rgb="FF00796B"/>
      <x:name val="Carlito"/>
    </x:font>
    <x:font>
      <x:b/>
      <x:sz val="11"/>
      <x:color rgb="FF008000"/>
      <x:name val="Carlito"/>
    </x:font>
    <x:font>
      <x:b/>
      <x:sz val="14"/>
      <x:color rgb="FF00796B"/>
      <x:name val="Carlito"/>
    </x:font>
    <x:font>
      <x:b/>
      <x:sz val="14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CEFF1"/>
      </x:patternFill>
    </x:fill>
    <x:fill>
      <x:patternFill patternType="solid">
        <x:fgColor rgb="FF37474F"/>
      </x:patternFill>
    </x:fill>
    <x:fill>
      <x:patternFill patternType="solid">
        <x:fgColor rgb="FF00796B"/>
      </x:patternFill>
    </x:fill>
    <x:fill>
      <x:patternFill patternType="solid">
        <x:fgColor rgb="FFE3F2FD"/>
      </x:patternFill>
    </x:fill>
    <x:fill>
      <x:patternFill patternType="solid">
        <x:fgColor rgb="FFFFF3CD"/>
      </x:patternFill>
    </x:fill>
    <x:fill>
      <x:patternFill patternType="solid">
        <x:fgColor rgb="FFFFEBEE"/>
      </x:patternFill>
    </x:fill>
    <x:fill>
      <x:patternFill patternType="solid">
        <x:fgColor rgb="FFE0F2F1"/>
      </x:patternFill>
    </x:fill>
  </x:fills>
  <x:borders count="5">
    <x:border/>
    <x:border>
      <x:left style="thin">
        <x:color rgb="FFCFD8DC"/>
      </x:left>
      <x:top style="thin">
        <x:color rgb="FFCFD8DC"/>
      </x:top>
      <x:bottom style="thin">
        <x:color rgb="FFCFD8DC"/>
      </x:bottom>
    </x:border>
    <x:border>
      <x:top style="thin">
        <x:color rgb="FFCFD8DC"/>
      </x:top>
      <x:bottom style="thin">
        <x:color rgb="FFCFD8DC"/>
      </x:bottom>
    </x:border>
    <x:border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top style="medium">
        <x:color rgb="FF00796B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/>
    <x:xf numFmtId="201" fontId="7" fillId="0" borderId="0" xfId="0" applyNumberFormat="1" applyFont="1" applyFill="1" applyBorder="1"/>
    <x:xf numFmtId="202" fontId="6" fillId="6" borderId="0" xfId="0" applyNumberFormat="1" applyFont="1" applyFill="1" applyBorder="1"/>
    <x:xf numFmtId="201" fontId="6" fillId="6" borderId="0" xfId="0" applyNumberFormat="1" applyFont="1" applyFill="1" applyBorder="1"/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12" fillId="9" borderId="0" xfId="0" applyNumberFormat="1" applyFont="1" applyFill="1" applyBorder="1"/>
    <x:xf numFmtId="200" fontId="12" fillId="9" borderId="0" xfId="0" applyNumberFormat="1" applyFont="1" applyFill="1" applyBorder="1"/>
    <x:xf numFmtId="0" fontId="12" fillId="9" borderId="4" xfId="0" applyNumberFormat="1" applyFont="1" applyFill="1" applyBorder="1"/>
    <x:xf numFmtId="200" fontId="12" fillId="9" borderId="4" xfId="0" applyNumberFormat="1" applyFont="1" applyFill="1" applyBorder="1"/>
    <x:xf numFmtId="203" fontId="12" fillId="9" borderId="4" xfId="0" applyNumberFormat="1" applyFont="1" applyFill="1" applyBorder="1"/>
    <x:xf numFmtId="204" fontId="0" fillId="0" borderId="0" xfId="0" applyNumberFormat="1" applyFont="1" applyFill="1" applyBorder="1"/>
    <x:xf numFmtId="204" fontId="8" fillId="0" borderId="0" xfId="0" applyNumberFormat="1" applyFont="1" applyFill="1" applyBorder="1"/>
    <x:xf numFmtId="205" fontId="0" fillId="0" borderId="0" xfId="0" applyNumberFormat="1" applyFont="1" applyFill="1" applyBorder="1"/>
    <x:xf numFmtId="205" fontId="7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6" borderId="0" xfId="0" applyNumberFormat="1" applyFont="1" applyFill="1" applyBorder="1"/>
    <x:xf numFmtId="205" fontId="0" fillId="6" borderId="0" xfId="0" applyNumberFormat="1" applyFont="1" applyFill="1" applyBorder="1"/>
    <x:xf numFmtId="204" fontId="6" fillId="6" borderId="0" xfId="0" applyNumberFormat="1" applyFont="1" applyFill="1" applyBorder="1"/>
    <x:xf numFmtId="205" fontId="6" fillId="6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2" fontId="8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201" fontId="8" fillId="6" borderId="0" xfId="0" applyNumberFormat="1" applyFont="1" applyFill="1" applyBorder="1"/>
    <x:xf numFmtId="203" fontId="8" fillId="0" borderId="0" xfId="0" applyNumberFormat="1" applyFont="1" applyFill="1" applyBorder="1"/>
    <x:xf numFmtId="205" fontId="8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/>
    </x:xf>
    <x:xf numFmtId="0" fontId="16" fillId="9" borderId="0" xfId="0" applyNumberFormat="1" applyFont="1" applyFill="1" applyBorder="1"/>
    <x:xf numFmtId="0" fontId="16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 applyAlignment="1">
      <x:alignment horizontal="center"/>
    </x:xf>
    <x:xf numFmtId="203" fontId="17" fillId="9" borderId="0" xfId="0" applyNumberFormat="1" applyFont="1" applyFill="1" applyBorder="1" applyAlignment="1">
      <x:alignment horizontal="center"/>
    </x:xf>
    <x:xf numFmtId="203" fontId="15" fillId="3" borderId="0" xfId="0" applyNumberFormat="1" applyFont="1" applyFill="1" applyBorder="1" applyAlignment="1">
      <x:alignment horizontal="center"/>
    </x:xf>
    <x:xf numFmtId="200" fontId="17" fillId="9" borderId="0" xfId="0" applyNumberFormat="1" applyFont="1" applyFill="1" applyBorder="1" applyAlignment="1">
      <x:alignment horizontal="center"/>
    </x:xf>
    <x:xf numFmtId="201" fontId="17" fillId="9" borderId="0" xfId="0" applyNumberFormat="1" applyFont="1" applyFill="1" applyBorder="1" applyAlignment="1">
      <x:alignment horizontal="center"/>
    </x:xf>
    <x:xf numFmtId="203" fontId="5" fillId="5" borderId="3" xfId="0" applyNumberFormat="1" applyFont="1" applyFill="1" applyBorder="1" applyAlignment="1">
      <x:alignment horizontal="center" vertical="center" wrapText="1"/>
    </x:xf>
    <x:xf numFmtId="206" fontId="6" fillId="6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</x:cellXfs>
  <x:cellStyles count="1">
    <x:cellStyle name="Normal" xfId="0"/>
  </x:cellStyles>
  <x:dxfs count="19"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  <x:dxf>
      <x:font>
        <x:b/>
        <x:color rgb="FF008000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FEB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e81adb8604833" /><Relationship Type="http://schemas.openxmlformats.org/officeDocument/2006/relationships/theme" Target="/xl/theme/theme1.xml" Id="Raa5539eaaa024946" /><Relationship Type="http://schemas.openxmlformats.org/officeDocument/2006/relationships/sharedStrings" Target="/xl/sharedStrings.xml" Id="R99280743a8574c96" /><Relationship Type="http://schemas.openxmlformats.org/officeDocument/2006/relationships/worksheet" Target="/xl/worksheets/sheet1.xml" Id="R05e9a7f0382241c8" /><Relationship Type="http://schemas.openxmlformats.org/officeDocument/2006/relationships/worksheet" Target="/xl/worksheets/sheet2.xml" Id="Rb6c44042dd5741cb" /><Relationship Type="http://schemas.openxmlformats.org/officeDocument/2006/relationships/worksheet" Target="/xl/worksheets/sheet3.xml" Id="Rb3240f82438149f3" /><Relationship Type="http://schemas.openxmlformats.org/officeDocument/2006/relationships/worksheet" Target="/xl/worksheets/sheet4.xml" Id="Rc74ccf9ce1534271" /><Relationship Type="http://schemas.openxmlformats.org/officeDocument/2006/relationships/worksheet" Target="/xl/worksheets/sheet5.xml" Id="R884034da157f4c69" /><Relationship Type="http://schemas.openxmlformats.org/officeDocument/2006/relationships/worksheet" Target="/xl/worksheets/sheet6.xml" Id="Rb841425cd7714425" /><Relationship Type="http://schemas.openxmlformats.org/officeDocument/2006/relationships/worksheet" Target="/xl/worksheets/sheet7.xml" Id="Rd48efc1951c64783" /><Relationship Type="http://schemas.openxmlformats.org/officeDocument/2006/relationships/worksheet" Target="/xl/worksheets/sheet8.xml" Id="R60dbbd4d8c3c40e3" /><Relationship Type="http://schemas.openxmlformats.org/officeDocument/2006/relationships/worksheet" Target="/xl/worksheets/sheet9.xml" Id="R31e14c78dc804c7f" /><Relationship Type="http://schemas.openxmlformats.org/officeDocument/2006/relationships/worksheet" Target="/xl/worksheets/sheet10.xml" Id="Rf0f372f4944b45c0" /><Relationship Type="http://schemas.openxmlformats.org/officeDocument/2006/relationships/worksheet" Target="/xl/worksheets/sheet11.xml" Id="Rf7a176a7e7d94f5c" /><Relationship Type="http://schemas.openxmlformats.org/officeDocument/2006/relationships/worksheet" Target="/xl/worksheets/sheet12.xml" Id="R6ef7289a47b7444b" /><Relationship Type="http://schemas.openxmlformats.org/officeDocument/2006/relationships/worksheet" Target="/xl/worksheets/sheet13.xml" Id="Rc81ebb72e5664d2b" /><Relationship Type="http://schemas.openxmlformats.org/officeDocument/2006/relationships/worksheet" Target="/xl/worksheets/sheet14.xml" Id="R975da13ae5d44e40" /><Relationship Type="http://schemas.microsoft.com/office/2017/10/relationships/person" Target="/xl/persons/person.xml" Id="Re8055afb26f04f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f531268a284834" /><Relationship Type="http://schemas.openxmlformats.org/officeDocument/2006/relationships/chart" Target="/xl/drawings/charts/chart2.xml" Id="Rf0020f88cacb4d99" /><Relationship Type="http://schemas.openxmlformats.org/officeDocument/2006/relationships/chart" Target="/xl/drawings/charts/chart3.xml" Id="R82162ee76a174ab1" /><Relationship Type="http://schemas.openxmlformats.org/officeDocument/2006/relationships/chart" Target="/xl/drawings/charts/chart4.xml" Id="Rab67541ce98549d3" /><Relationship Type="http://schemas.openxmlformats.org/officeDocument/2006/relationships/chart" Target="/xl/drawings/charts/chart5.xml" Id="R99d2efd9e07b4935" /><Relationship Type="http://schemas.openxmlformats.org/officeDocument/2006/relationships/chart" Target="/xl/drawings/charts/chart6.xml" Id="R829f1b85fa02454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782db969fdfc4b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构成（CNY）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金额</c:v>
          </c:tx>
          <c:cat>
            <c:strRef>
              <c:f>'01_执行摘要'!$A$57:$A$69</c:f>
              <c:strCache>
                <c:ptCount val="0"/>
              </c:strCache>
            </c:strRef>
          </c:cat>
          <c:val>
            <c:numRef>
              <c:f>'01_执行摘要'!$B$57:$B$69</c:f>
              <c:numCache>
                <c:formatCode>¥#,##0;[Red](¥#,##0);-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年度 OPEX 构成（CNY）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金额</c:v>
          </c:tx>
          <c:cat>
            <c:strRef>
              <c:f>'01_执行摘要'!$D$57:$D$68</c:f>
              <c:strCache>
                <c:ptCount val="0"/>
              </c:strCache>
            </c:strRef>
          </c:cat>
          <c:val>
            <c:numRef>
              <c:f>'01_执行摘要'!$E$57:$E$68</c:f>
              <c:numCache>
                <c:formatCode>¥#,##0;[Red](¥#,##0);-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三情景首年资金对比（CNY）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CAPEX</c:v>
          </c:tx>
          <c:cat>
            <c:strRef>
              <c:f>'01_执行摘要'!$G$57:$G$59</c:f>
              <c:strCache>
                <c:ptCount val="0"/>
              </c:strCache>
            </c:strRef>
          </c:cat>
          <c:val>
            <c:numRef>
              <c:f>'01_执行摘要'!$H$57:$H$59</c:f>
              <c:numCache>
                <c:formatCode>¥#,##0;[Red](¥#,##0);-</c:formatCode>
                <c:ptCount val="0"/>
              </c:numCache>
            </c:numRef>
          </c:val>
        </c:ser>
        <c:ser>
          <c:idx val="1"/>
          <c:order val="1"/>
          <c:tx>
            <c:v>OPEX+BOM</c:v>
          </c:tx>
          <c:cat>
            <c:strRef>
              <c:f>'01_执行摘要'!$G$57:$G$59</c:f>
              <c:strCache>
                <c:ptCount val="0"/>
              </c:strCache>
            </c:strRef>
          </c:cat>
          <c:val>
            <c:numRef>
              <c:f>'01_执行摘要'!$I$57:$I$59</c:f>
              <c:numCache>
                <c:formatCode>¥#,##0;[Red](¥#,##0);-</c:formatCode>
                <c:ptCount val="0"/>
              </c:numCache>
            </c:numRef>
          </c:val>
        </c:ser>
        <c:ser>
          <c:idx val="2"/>
          <c:order val="2"/>
          <c:tx>
            <c:v>首年资金</c:v>
          </c:tx>
          <c:cat>
            <c:strRef>
              <c:f>'01_执行摘要'!$G$57:$G$59</c:f>
              <c:strCache>
                <c:ptCount val="0"/>
              </c:strCache>
            </c:strRef>
          </c:cat>
          <c:val>
            <c:numRef>
              <c:f>'01_执行摘要'!$J$57:$J$59</c:f>
              <c:numCache>
                <c:formatCode>¥#,##0;[Red](¥#,##0);-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2024-当前总预算价格趋势（CNY）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选中数量总预算</c:v>
          </c:tx>
          <c:marker>
            <c:symbol val="none"/>
          </c:marker>
          <c:cat>
            <c:strRef>
              <c:f>'01_执行摘要'!$L$57:$L$59</c:f>
              <c:strCache>
                <c:ptCount val="0"/>
              </c:strCache>
            </c:strRef>
          </c:cat>
          <c:val>
            <c:numRef>
              <c:f>'01_执行摘要'!$M$57:$M$59</c:f>
              <c:numCache>
                <c:formatCode>¥#,##0;[Red](¥#,##0);-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来源可信度金额分布（CNY）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金额</c:v>
          </c:tx>
          <c:cat>
            <c:strRef>
              <c:f>'01_执行摘要'!$L$63:$L$65</c:f>
              <c:strCache>
                <c:ptCount val="0"/>
              </c:strCache>
            </c:strRef>
          </c:cat>
          <c:val>
            <c:numRef>
              <c:f>'01_执行摘要'!$M$63:$M$65</c:f>
              <c:numCache>
                <c:formatCode>¥#,##0;[Red](¥#,##0);-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关键替代品：价格-质量定位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质量分</c:v>
          </c:tx>
          <c:xVal>
            <c:numLit>
              <c:formatCode>General</c:formatCode>
              <c:ptCount val="0"/>
            </c:numLit>
          </c:xVal>
          <c:yVal>
            <c:numRef>
              <c:f>'01_执行摘要'!$Q$57:$Q$70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主驱动对首年资金的敏感性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首年资金变化率</c:v>
          </c:tx>
          <c:cat>
            <c:strRef>
              <c:f>'08_现金流敏感性'!$K$26:$K$37</c:f>
              <c:strCache>
                <c:ptCount val="0"/>
              </c:strCache>
            </c:strRef>
          </c:cat>
          <c:val>
            <c:numRef>
              <c:f>'08_现金流敏感性'!$L$26:$L$37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05"/>
          <c:min val="-0.0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f531268a284834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020f88cacb4d99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62ee76a174ab1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7541ce98549d3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7</xdr:col>
      <xdr:colOff>0</xdr:colOff>
      <xdr:row>70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d2efd9e07b4935"/>
        </a:graphicData>
      </a:graphic>
    </xdr:graphicFrame>
    <xdr:clientData/>
  </xdr:twoCellAnchor>
  <xdr:twoCellAnchor>
    <xdr:from>
      <xdr:col>7</xdr:col>
      <xdr:colOff>0</xdr:colOff>
      <xdr:row>53</xdr:row>
      <xdr:rowOff>0</xdr:rowOff>
    </xdr:from>
    <xdr:to>
      <xdr:col>14</xdr:col>
      <xdr:colOff>0</xdr:colOff>
      <xdr:row>70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9f1b85fa02454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2db969fdfc4b8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Zhou zhiyi" id="{5F65BBDA-8C60-4337-9166-B87164A2DD25}"/>
</xltc:personList>
</file>

<file path=xl/tables/table1.xml><?xml version="1.0" encoding="utf-8"?>
<x:table xmlns:x="http://schemas.openxmlformats.org/spreadsheetml/2006/main" id="1" name="CapexBudgetTable" displayName="CapexBudgetTable" ref="A5:AB57" headerRowCount="1" totalsRowCount="0" totalsRowShown="0">
  <x:autoFilter ref="A5:AB57"/>
  <x:tableColumns count="28">
    <x:tableColumn id="1" name="项目ID"/>
    <x:tableColumn id="2" name="类别"/>
    <x:tableColumn id="3" name="子类别"/>
    <x:tableColumn id="4" name="项目"/>
    <x:tableColumn id="5" name="规格/服务边界"/>
    <x:tableColumn id="6" name="单位"/>
    <x:tableColumn id="7" name="S1数量"/>
    <x:tableColumn id="8" name="S2数量"/>
    <x:tableColumn id="9" name="S3数量"/>
    <x:tableColumn id="10" name="选中数量"/>
    <x:tableColumn id="11" name="原始价"/>
    <x:tableColumn id="12" name="币种"/>
    <x:tableColumn id="13" name="税态"/>
    <x:tableColumn id="14" name="运费"/>
    <x:tableColumn id="15" name="安装调试"/>
    <x:tableColumn id="16" name="当前到厂单价"/>
    <x:tableColumn id="17" name="2025单价"/>
    <x:tableColumn id="18" name="2024单价"/>
    <x:tableColumn id="19" name="低价"/>
    <x:tableColumn id="20" name="高价"/>
    <x:tableColumn id="21" name="当前金额"/>
    <x:tableColumn id="22" name="低位金额"/>
    <x:tableColumn id="23" name="高位金额"/>
    <x:tableColumn id="24" name="当前可信度"/>
    <x:tableColumn id="25" name="来源ID"/>
    <x:tableColumn id="26" name="询价状态"/>
    <x:tableColumn id="27" name="流程映射"/>
    <x:tableColumn id="2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xBudgetTable" displayName="OpexBudgetTable" ref="A5:AB36" headerRowCount="1" totalsRowCount="0" totalsRowShown="0">
  <x:autoFilter ref="A5:AB36"/>
  <x:tableColumns count="28">
    <x:tableColumn id="1" name="项目ID"/>
    <x:tableColumn id="2" name="类别"/>
    <x:tableColumn id="3" name="子类别"/>
    <x:tableColumn id="4" name="项目"/>
    <x:tableColumn id="5" name="规格/服务边界"/>
    <x:tableColumn id="6" name="单位"/>
    <x:tableColumn id="7" name="S1数量"/>
    <x:tableColumn id="8" name="S2数量"/>
    <x:tableColumn id="9" name="S3数量"/>
    <x:tableColumn id="10" name="选中数量"/>
    <x:tableColumn id="11" name="原始价"/>
    <x:tableColumn id="12" name="币种"/>
    <x:tableColumn id="13" name="税态"/>
    <x:tableColumn id="14" name="运费"/>
    <x:tableColumn id="15" name="安装调试"/>
    <x:tableColumn id="16" name="当前到厂单价"/>
    <x:tableColumn id="17" name="2025单价"/>
    <x:tableColumn id="18" name="2024单价"/>
    <x:tableColumn id="19" name="低价"/>
    <x:tableColumn id="20" name="高价"/>
    <x:tableColumn id="21" name="当前金额"/>
    <x:tableColumn id="22" name="低位金额"/>
    <x:tableColumn id="23" name="高位金额"/>
    <x:tableColumn id="24" name="当前可信度"/>
    <x:tableColumn id="25" name="来源ID"/>
    <x:tableColumn id="26" name="询价状态"/>
    <x:tableColumn id="27" name="流程映射"/>
    <x:tableColumn id="2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mBudgetTable" displayName="BomBudgetTable" ref="A5:AB48" headerRowCount="1" totalsRowCount="0" totalsRowShown="0">
  <x:autoFilter ref="A5:AB48"/>
  <x:tableColumns count="28">
    <x:tableColumn id="1" name="项目ID"/>
    <x:tableColumn id="2" name="类别"/>
    <x:tableColumn id="3" name="子类别"/>
    <x:tableColumn id="4" name="项目"/>
    <x:tableColumn id="5" name="规格/服务边界"/>
    <x:tableColumn id="6" name="单位"/>
    <x:tableColumn id="7" name="S1数量"/>
    <x:tableColumn id="8" name="S2数量"/>
    <x:tableColumn id="9" name="S3数量"/>
    <x:tableColumn id="10" name="选中数量"/>
    <x:tableColumn id="11" name="原始价"/>
    <x:tableColumn id="12" name="币种"/>
    <x:tableColumn id="13" name="税态"/>
    <x:tableColumn id="14" name="运费"/>
    <x:tableColumn id="15" name="安装调试"/>
    <x:tableColumn id="16" name="当前到厂单价"/>
    <x:tableColumn id="17" name="2025单价"/>
    <x:tableColumn id="18" name="2024单价"/>
    <x:tableColumn id="19" name="低价"/>
    <x:tableColumn id="20" name="高价"/>
    <x:tableColumn id="21" name="当前金额"/>
    <x:tableColumn id="22" name="低位金额"/>
    <x:tableColumn id="23" name="高位金额"/>
    <x:tableColumn id="24" name="当前可信度"/>
    <x:tableColumn id="25" name="来源ID"/>
    <x:tableColumn id="26" name="询价状态"/>
    <x:tableColumn id="27" name="流程映射"/>
    <x:tableColumn id="28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ternativesTable" displayName="AlternativesTable" ref="A5:S262" headerRowCount="1" totalsRowCount="0" totalsRowShown="0">
  <x:autoFilter ref="A5:S262"/>
  <x:tableColumns count="19">
    <x:tableColumn id="1" name="替代ID"/>
    <x:tableColumn id="2" name="项目ID"/>
    <x:tableColumn id="3" name="项目"/>
    <x:tableColumn id="4" name="候选产品"/>
    <x:tableColumn id="5" name="品牌/型号"/>
    <x:tableColumn id="6" name="基准价"/>
    <x:tableColumn id="7" name="候选到厂价"/>
    <x:tableColumn id="8" name="价格分"/>
    <x:tableColumn id="9" name="质量"/>
    <x:tableColumn id="10" name="兼容性"/>
    <x:tableColumn id="11" name="供应"/>
    <x:tableColumn id="12" name="服务"/>
    <x:tableColumn id="13" name="证据"/>
    <x:tableColumn id="14" name="门槛"/>
    <x:tableColumn id="15" name="切换成本"/>
    <x:tableColumn id="16" name="综合分"/>
    <x:tableColumn id="17" name="建议"/>
    <x:tableColumn id="18" name="来源ID"/>
    <x:tableColumn id="19" name="评估理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yPriceTable" displayName="HistoryPriceTable" ref="A4:S130" headerRowCount="1" totalsRowCount="0" totalsRowShown="0">
  <x:autoFilter ref="A4:S130"/>
  <x:tableColumns count="19">
    <x:tableColumn id="1" name="项目ID"/>
    <x:tableColumn id="2" name="类型"/>
    <x:tableColumn id="3" name="类别"/>
    <x:tableColumn id="4" name="项目"/>
    <x:tableColumn id="5" name="单位"/>
    <x:tableColumn id="6" name="2024价"/>
    <x:tableColumn id="7" name="2025价"/>
    <x:tableColumn id="8" name="当前价"/>
    <x:tableColumn id="9" name="低位"/>
    <x:tableColumn id="10" name="高位"/>
    <x:tableColumn id="11" name="2025同比"/>
    <x:tableColumn id="12" name="当前较2025"/>
    <x:tableColumn id="13" name="区间宽度"/>
    <x:tableColumn id="14" name="2024可信"/>
    <x:tableColumn id="15" name="2025可信"/>
    <x:tableColumn id="16" name="当前可信"/>
    <x:tableColumn id="17" name="加权可信"/>
    <x:tableColumn id="18" name="历史方法"/>
    <x:tableColumn id="19" name="来源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AuditTable" displayName="SourcesAuditTable" ref="A4:N40" headerRowCount="1" totalsRowCount="0" totalsRowShown="0">
  <x:autoFilter ref="A4:N40"/>
  <x:tableColumns count="14">
    <x:tableColumn id="1" name="来源ID"/>
    <x:tableColumn id="2" name="类型"/>
    <x:tableColumn id="3" name="发布方"/>
    <x:tableColumn id="4" name="标题/产品"/>
    <x:tableColumn id="5" name="价格日期"/>
    <x:tableColumn id="6" name="访问日期"/>
    <x:tableColumn id="7" name="可信度"/>
    <x:tableColumn id="8" name="URL/本地路径"/>
    <x:tableColumn id="9" name="证据与价格口径"/>
    <x:tableColumn id="10" name="关联项目数"/>
    <x:tableColumn id="11" name="S2金额敞口"/>
    <x:tableColumn id="12" name="状态"/>
    <x:tableColumn id="13" name="需复核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17T12:57:48.343" personId="{5F65BBDA-8C60-4337-9166-B87164A2DD25}" id="{FECF9E0C-CA1A-2CC7-29A2-033E479BCCB0}">
    <xltc:text>Assumption A-002 | Engineering input | Ratio on 0-1 scale</xltc:text>
  </xltc:threadedComment>
  <xltc:threadedComment ref="B9" dT="2026-08-17T12:57:48.344" personId="{5F65BBDA-8C60-4337-9166-B87164A2DD25}" id="{A7C7E930-1487-0DFC-8371-B33DFCD612B5}">
    <xltc:text>Assumption A-003 | Engineering input | Ratio on 0-1 scale</xltc:text>
  </xltc:threadedComment>
  <xltc:threadedComment ref="B10" dT="2026-08-17T12:57:48.344" personId="{5F65BBDA-8C60-4337-9166-B87164A2DD25}" id="{7A4AF71F-FF9F-8D15-D221-6A120CDA3139}">
    <xltc:text>Assumption A-004 | Low-maturity project contingency</xltc:text>
  </xltc:threadedComment>
  <xltc:threadedComment ref="B11" dT="2026-08-17T12:57:48.344" personId="{5F65BBDA-8C60-4337-9166-B87164A2DD25}" id="{70D8F4F8-CFA0-DA07-A61B-904F867E3861}">
    <xltc:text>Assumption A-005 | Annual operating price/batch contingency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P6" dT="2026-08-17T12:57:48.401" personId="{5F65BBDA-8C60-4337-9166-B87164A2DD25}" id="{C2D3F724-1BBA-413A-586B-4B4A8EF70216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7" dT="2026-08-17T12:57:48.401" personId="{5F65BBDA-8C60-4337-9166-B87164A2DD25}" id="{A04A42D0-4D75-A414-DE11-276C718C116B}">
    <xltc:text>Source IDs: SRC-015,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8" dT="2026-08-17T12:57:48.401" personId="{5F65BBDA-8C60-4337-9166-B87164A2DD25}" id="{945F44C8-B93F-2582-4160-B39A902D29EE}">
    <xltc:text>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9" dT="2026-08-17T12:57:48.401" personId="{5F65BBDA-8C60-4337-9166-B87164A2DD25}" id="{FF383134-18CC-E124-483E-97B8154B5353}">
    <xltc:text>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0" dT="2026-08-17T12:57:48.402" personId="{5F65BBDA-8C60-4337-9166-B87164A2DD25}" id="{0E4A437D-AE66-A210-EC33-3575D8032E44}">
    <xltc:text>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1" dT="2026-08-17T12:57:48.402" personId="{5F65BBDA-8C60-4337-9166-B87164A2DD25}" id="{55816C90-FB85-B47B-A597-847D1616E3E0}">
    <xltc:text>Source IDs: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2" dT="2026-08-17T12:57:48.402" personId="{5F65BBDA-8C60-4337-9166-B87164A2DD25}" id="{C511F8D7-FBF4-0563-53D0-7F10303E2678}">
    <xltc:text>Source IDs: SRC-017,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3" dT="2026-08-17T12:57:48.402" personId="{5F65BBDA-8C60-4337-9166-B87164A2DD25}" id="{A86CF875-1CF1-0ADC-7C09-B097A023D611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14" dT="2026-08-17T12:57:48.402" personId="{5F65BBDA-8C60-4337-9166-B87164A2DD25}" id="{DA628D86-0694-D4FF-E5A2-B146D59BEC1E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15" dT="2026-08-17T12:57:48.402" personId="{5F65BBDA-8C60-4337-9166-B87164A2DD25}" id="{66BABE2D-AAA4-7591-F49D-675BAD9D7CE9}">
    <xltc:text>Source IDs: SRC-017, SRC-018,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6" dT="2026-08-17T12:57:48.402" personId="{5F65BBDA-8C60-4337-9166-B87164A2DD25}" id="{067A5FBA-5654-BABD-875E-7991CB3CE649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17" dT="2026-08-17T12:57:48.402" personId="{5F65BBDA-8C60-4337-9166-B87164A2DD25}" id="{8C98020C-14F0-9DFA-1C39-AA589B4B7372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18" dT="2026-08-17T12:57:48.402" personId="{5F65BBDA-8C60-4337-9166-B87164A2DD25}" id="{4F9F3420-87FF-9C08-EDA5-C94CD9A66BEC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19" dT="2026-08-17T12:57:48.402" personId="{5F65BBDA-8C60-4337-9166-B87164A2DD25}" id="{59811B86-047B-C674-2EAB-D17C17C1D7C1}">
    <xltc:text>Source IDs: SRC-026,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0" dT="2026-08-17T12:57:48.402" personId="{5F65BBDA-8C60-4337-9166-B87164A2DD25}" id="{BDCD3988-E039-7779-3D32-C3848EDAB509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1" dT="2026-08-17T12:57:48.402" personId="{5F65BBDA-8C60-4337-9166-B87164A2DD25}" id="{25203868-DA7B-5AA3-6835-B9719D13216A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2" dT="2026-08-17T12:57:48.402" personId="{5F65BBDA-8C60-4337-9166-B87164A2DD25}" id="{EB528BE6-6AB5-FBB1-68D7-85F26B68D6B2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3" dT="2026-08-17T12:57:48.402" personId="{5F65BBDA-8C60-4337-9166-B87164A2DD25}" id="{186823D9-49F2-8916-BC94-031B5D4AEE6D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4" dT="2026-08-17T12:57:48.402" personId="{5F65BBDA-8C60-4337-9166-B87164A2DD25}" id="{D0871B85-CE52-02C3-5202-DD0322EA32D1}">
    <xltc:text>Source IDs: SRC-027,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5" dT="2026-08-17T12:57:48.402" personId="{5F65BBDA-8C60-4337-9166-B87164A2DD25}" id="{9DFE28AB-484D-2933-162B-4B2540E73DE2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6" dT="2026-08-17T12:57:48.402" personId="{5F65BBDA-8C60-4337-9166-B87164A2DD25}" id="{24061B64-82CC-86B6-ACE7-BE009DB8E3CF}">
    <xltc:text>Source IDs: SRC-024,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7" dT="2026-08-17T12:57:48.402" personId="{5F65BBDA-8C60-4337-9166-B87164A2DD25}" id="{16B5D265-81C6-E48F-12E3-98963B4DF564}">
    <xltc:text>Source IDs: SRC-024,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8" dT="2026-08-17T12:57:48.402" personId="{5F65BBDA-8C60-4337-9166-B87164A2DD25}" id="{47238592-15E3-EDCF-BD90-7D86E94A2F66}">
    <xltc:text>Source IDs: SRC-024,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9" dT="2026-08-17T12:57:48.402" personId="{5F65BBDA-8C60-4337-9166-B87164A2DD25}" id="{4EE582B3-556D-6B9F-4BCD-871656B1A4FC}">
    <xltc:text>Source IDs: SRC-024,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0" dT="2026-08-17T12:57:48.402" personId="{5F65BBDA-8C60-4337-9166-B87164A2DD25}" id="{3AA72C23-4467-DCA4-70F5-324880EC6453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1" dT="2026-08-17T12:57:48.402" personId="{5F65BBDA-8C60-4337-9166-B87164A2DD25}" id="{35CEE482-BE04-A662-8004-AC7754E8A8F9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2" dT="2026-08-17T12:57:48.402" personId="{5F65BBDA-8C60-4337-9166-B87164A2DD25}" id="{6BB229A3-565B-D4DC-855A-1F95E7B1BFDD}">
    <xltc:text>Source IDs: SRC-023,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33" dT="2026-08-17T12:57:48.402" personId="{5F65BBDA-8C60-4337-9166-B87164A2DD25}" id="{F8F08EB8-E976-C441-C217-C9185EF78F43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4" dT="2026-08-17T12:57:48.402" personId="{5F65BBDA-8C60-4337-9166-B87164A2DD25}" id="{5C2502CC-9B5F-CC5D-A9B5-2CE97A55C00E}">
    <xltc:text>Source IDs: SRC-025,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5" dT="2026-08-17T12:57:48.402" personId="{5F65BBDA-8C60-4337-9166-B87164A2DD25}" id="{B33E3BDC-77B4-6444-F744-E5EC1830EE65}">
    <xltc:text>Source IDs: SRC-025,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6" dT="2026-08-17T12:57:48.402" personId="{5F65BBDA-8C60-4337-9166-B87164A2DD25}" id="{939EA39B-05DA-5913-56DB-4E379A6CC4DC}">
    <xltc:text>Source IDs: SRC-025,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7" dT="2026-08-17T12:57:48.402" personId="{5F65BBDA-8C60-4337-9166-B87164A2DD25}" id="{8362D340-225A-9DED-9BB6-3D040C932F43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8" dT="2026-08-17T12:57:48.402" personId="{5F65BBDA-8C60-4337-9166-B87164A2DD25}" id="{A569B205-09BA-6209-A106-7821036CE837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9" dT="2026-08-17T12:57:48.402" personId="{5F65BBDA-8C60-4337-9166-B87164A2DD25}" id="{6E142A3F-76AE-CF2D-65A3-036DF227D257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0" dT="2026-08-17T12:57:48.402" personId="{5F65BBDA-8C60-4337-9166-B87164A2DD25}" id="{7ACBD88B-16C4-E8C8-4074-215AE5411EAD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1" dT="2026-08-17T12:57:48.402" personId="{5F65BBDA-8C60-4337-9166-B87164A2DD25}" id="{1E7FAC47-1F36-76AD-4F5A-C960DC04F378}">
    <xltc:text>Source IDs: SRC-019 | As of: 2026-08-17 | Basis: 含税到厂价 | Historical: 2025 CFX Duet成交区间；2024按PPI回推 | Quote status: 公开价格锚点；正式采购仍需同规格、同税费和服务范围询价</xltc:text>
  </xltc:threadedComment>
  <xltc:threadedComment ref="P42" dT="2026-08-17T12:57:48.402" personId="{5F65BBDA-8C60-4337-9166-B87164A2DD25}" id="{9C710EE2-AE7F-EA7E-D0F7-0566761893DC}">
    <xltc:text>Source IDs: SRC-020 | As of: 2026-08-17 | Basis: 含税到厂价 | Historical: Synergy H1成交区间；2024公开预算80万元用于高配上限交叉验证 | Quote status: 公开价格锚点；正式采购仍需同规格、同税费和服务范围询价</xltc:text>
  </xltc:threadedComment>
  <xltc:threadedComment ref="P43" dT="2026-08-17T12:57:48.402" personId="{5F65BBDA-8C60-4337-9166-B87164A2DD25}" id="{2FD7075D-480D-C390-8BF1-769DA8C88BA2}">
    <xltc:text>Source IDs: SRC-021 | As of: 2026-08-17 | Basis: 含税到厂价 | Historical: 2025 Nano-500市场区间；2024按PPI回推 | Quote status: 公开价格锚点；正式采购仍需同规格、同税费和服务范围询价</xltc:text>
  </xltc:threadedComment>
  <xltc:threadedComment ref="P44" dT="2026-08-17T12:57:48.402" personId="{5F65BBDA-8C60-4337-9166-B87164A2DD25}" id="{E6F94BB2-9882-5707-892A-06CB550B45CC}">
    <xltc:text>Source IDs: SRC-022 | As of: 2026-08-17 | Basis: 含税到厂价 | Historical: 2025采购预算/限价；2024按PPI回推 | Quote status: 公开价格锚点；正式采购仍需同规格、同税费和服务范围询价</xltc:text>
  </xltc:threadedComment>
  <xltc:threadedComment ref="P45" dT="2026-08-17T12:57:48.402" personId="{5F65BBDA-8C60-4337-9166-B87164A2DD25}" id="{24120289-872C-03B1-99A6-298A3BB61A7C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6" dT="2026-08-17T12:57:48.402" personId="{5F65BBDA-8C60-4337-9166-B87164A2DD25}" id="{C72030E5-5F04-0E00-6795-F63CE2E493D3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7" dT="2026-08-17T12:57:48.402" personId="{5F65BBDA-8C60-4337-9166-B87164A2DD25}" id="{9D57A8EF-03A9-399C-8DD5-2F26E60B2AED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8" dT="2026-08-17T12:57:48.402" personId="{5F65BBDA-8C60-4337-9166-B87164A2DD25}" id="{A1411366-A5C5-D0BC-B312-2F9E7B7875C3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9" dT="2026-08-17T12:57:48.402" personId="{5F65BBDA-8C60-4337-9166-B87164A2DD25}" id="{1E98248F-8BED-0D39-D945-01D831A64910}">
    <xltc:text>Source IDs: SRC-023 | As of: 2026-08-17 | Basis: 含税到厂价 | Historical: 当前公开价结合PPI回推 | Quote status: 公开价格锚点；正式采购仍需同规格、同税费和服务范围询价</xltc:text>
  </xltc:threadedComment>
  <xltc:threadedComment ref="P50" dT="2026-08-17T12:57:48.402" personId="{5F65BBDA-8C60-4337-9166-B87164A2DD25}" id="{9515705F-5F83-6761-3139-66FDD4661E47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1" dT="2026-08-17T12:57:48.402" personId="{5F65BBDA-8C60-4337-9166-B87164A2DD25}" id="{0C2276D1-D042-6F1F-1971-2E9EF2495CCF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2" dT="2026-08-17T12:57:48.402" personId="{5F65BBDA-8C60-4337-9166-B87164A2DD25}" id="{9EDFA447-A44C-A349-FA2E-6F473AE515B0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3" dT="2026-08-17T12:57:48.402" personId="{5F65BBDA-8C60-4337-9166-B87164A2DD25}" id="{6CEB55F3-55CE-E98D-A8C3-5D9173BC311F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4" dT="2026-08-17T12:57:48.402" personId="{5F65BBDA-8C60-4337-9166-B87164A2DD25}" id="{EE207C58-A6A4-CF37-3554-B1DCDA6369C7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5" dT="2026-08-17T12:57:48.402" personId="{5F65BBDA-8C60-4337-9166-B87164A2DD25}" id="{235AD758-EE44-025A-F0C7-01093954B43F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6" dT="2026-08-17T12:57:48.402" personId="{5F65BBDA-8C60-4337-9166-B87164A2DD25}" id="{3798B103-4ABC-AF30-219F-343FFEA02F97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57" dT="2026-08-17T12:57:48.402" personId="{5F65BBDA-8C60-4337-9166-B87164A2DD25}" id="{48EF8565-8429-0544-7773-2450B86DBA77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P6" dT="2026-08-17T12:57:48.434" personId="{5F65BBDA-8C60-4337-9166-B87164A2DD25}" id="{BA9933EF-3C11-6506-CB83-6D89CB2947AE}">
    <xltc:text>Source IDs: SRC-015 | As of: 2026-08-17 | Basis: 含税到厂价 | Historical: 2024园区公开租金；2025按5%市场增长估算 | Quote status: 公开价格锚点；正式采购仍需同规格、同税费和服务范围询价</xltc:text>
  </xltc:threadedComment>
  <xltc:threadedComment ref="P7" dT="2026-08-17T12:57:48.434" personId="{5F65BBDA-8C60-4337-9166-B87164A2DD25}" id="{AA0114A6-E870-EFF9-9A55-7AF84D3827E1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8" dT="2026-08-17T12:57:48.434" personId="{5F65BBDA-8C60-4337-9166-B87164A2DD25}" id="{95AF4CDE-4388-47B6-D31F-146AFBDC54EE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9" dT="2026-08-17T12:57:48.434" personId="{5F65BBDA-8C60-4337-9166-B87164A2DD25}" id="{93D91F94-C93A-B58C-B4BF-7CCB68E91EC1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0" dT="2026-08-17T12:57:48.435" personId="{5F65BBDA-8C60-4337-9166-B87164A2DD25}" id="{0CA3B694-5DA4-A052-09A8-B2B2D898777C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1" dT="2026-08-17T12:57:48.435" personId="{5F65BBDA-8C60-4337-9166-B87164A2DD25}" id="{2C7C0D00-56B4-7BED-4D62-3B69C52002D9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2" dT="2026-08-17T12:57:48.435" personId="{5F65BBDA-8C60-4337-9166-B87164A2DD25}" id="{29661E4A-78F0-BAEC-AC4E-43B83EE13DAA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3" dT="2026-08-17T12:57:48.435" personId="{5F65BBDA-8C60-4337-9166-B87164A2DD25}" id="{303C069B-001A-7A7E-7D51-4ACFE3CA4C26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4" dT="2026-08-17T12:57:48.435" personId="{5F65BBDA-8C60-4337-9166-B87164A2DD25}" id="{3B5FC00E-9338-E37A-022B-47ED2D904FF1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5" dT="2026-08-17T12:57:48.435" personId="{5F65BBDA-8C60-4337-9166-B87164A2DD25}" id="{615FC7BA-3525-E029-6373-CE8BDE51E996}">
    <xltc:text>Source IDs: SRC-013, SRC-014 | As of: 2026-08-17 | Basis: 含税到厂价 | Historical: 成都工资统计结合岗位系数 | Quote status: 公开价格锚点；正式采购仍需同规格、同税费和服务范围询价</xltc:text>
  </xltc:threadedComment>
  <xltc:threadedComment ref="P16" dT="2026-08-17T12:57:48.435" personId="{5F65BBDA-8C60-4337-9166-B87164A2DD25}" id="{939642A7-7ABC-8593-3F85-957AC1DA1EFF}">
    <xltc:text>Source IDs: SRC-016 | As of: 2026-08-17 | Basis: 含税到厂价 | Historical: 2025天府新区非居民水价；2024按低位回推 | Quote status: 公开价格锚点；正式采购仍需同规格、同税费和服务范围询价</xltc:text>
  </xltc:threadedComment>
  <xltc:threadedComment ref="P17" dT="2026-08-17T12:57:48.435" personId="{5F65BBDA-8C60-4337-9166-B87164A2DD25}" id="{0469A38F-D8DD-EBFE-9D04-D1E1B35D5782}">
    <xltc:text>Source IDs: SRC-012 | As of: 2026-08-17 | Basis: 含税到厂价 | Historical: 四川2025工商业均价；2024按市场均值回推 | Quote status: 公开价格锚点；正式采购仍需同规格、同税费和服务范围询价</xltc:text>
  </xltc:threadedComment>
  <xltc:threadedComment ref="P18" dT="2026-08-17T12:57:48.435" personId="{5F65BBDA-8C60-4337-9166-B87164A2DD25}" id="{CC774608-6D59-E45F-7410-212BED934AAD}">
    <xltc:text>Source IDs: SRC-012 | As of: 2026-08-17 | Basis: 含税到厂价 | Historical: 四川2025工商业均价；2024按市场均值回推 | Quote status: 公开价格锚点；正式采购仍需同规格、同税费和服务范围询价</xltc:text>
  </xltc:threadedComment>
  <xltc:threadedComment ref="P19" dT="2026-08-17T12:57:48.435" personId="{5F65BBDA-8C60-4337-9166-B87164A2DD25}" id="{0BBDCA02-6F63-A243-77CC-4574D423C7A0}">
    <xltc:text>Source IDs: SRC-012 | As of: 2026-08-17 | Basis: 含税到厂价 | Historical: 四川2025工商业均价；2024按市场均值回推 | Quote status: 公开价格锚点；正式采购仍需同规格、同税费和服务范围询价</xltc:text>
  </xltc:threadedComment>
  <xltc:threadedComment ref="P20" dT="2026-08-17T12:57:48.435" personId="{5F65BBDA-8C60-4337-9166-B87164A2DD25}" id="{5C9FC42E-9FD5-8659-0317-2DEA4A2BE0CA}">
    <xltc:text>Source IDs: SRC-027,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1" dT="2026-08-17T12:57:48.435" personId="{5F65BBDA-8C60-4337-9166-B87164A2DD25}" id="{5BF43596-EA1C-FBFB-F531-3A628B791CAF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2" dT="2026-08-17T12:57:48.435" personId="{5F65BBDA-8C60-4337-9166-B87164A2DD25}" id="{2D038001-8CEE-F915-5D3C-3DAF11D1253F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3" dT="2026-08-17T12:57:48.435" personId="{5F65BBDA-8C60-4337-9166-B87164A2DD25}" id="{506737C0-EC0D-2D9F-D27C-4AD7C921CD8B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4" dT="2026-08-17T12:57:48.435" personId="{5F65BBDA-8C60-4337-9166-B87164A2DD25}" id="{569ECEED-AE7B-7D41-078D-E7151B83B0CA}">
    <xltc:text>Source IDs: SRC-006,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5" dT="2026-08-17T12:57:48.435" personId="{5F65BBDA-8C60-4337-9166-B87164A2DD25}" id="{7267730D-7120-E131-A139-AA0621B36D47}">
    <xltc:text>Source IDs: SRC-006,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6" dT="2026-08-17T12:57:48.435" personId="{5F65BBDA-8C60-4337-9166-B87164A2DD25}" id="{F7943F09-E86E-1221-08AE-5BB30F3D1D13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7" dT="2026-08-17T12:57:48.435" personId="{5F65BBDA-8C60-4337-9166-B87164A2DD25}" id="{90AE9C5C-77C0-9FD1-FD19-7FB2ADDA767E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8" dT="2026-08-17T12:57:48.435" personId="{5F65BBDA-8C60-4337-9166-B87164A2DD25}" id="{5B312B11-540C-9074-88E5-677133F78DCA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29" dT="2026-08-17T12:57:48.435" personId="{5F65BBDA-8C60-4337-9166-B87164A2DD25}" id="{C6C6488C-B783-7107-864D-EBC30BB1096C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0" dT="2026-08-17T12:57:48.435" personId="{5F65BBDA-8C60-4337-9166-B87164A2DD25}" id="{8E190442-5564-2BAB-0970-F60BFEABA79A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1" dT="2026-08-17T12:57:48.435" personId="{5F65BBDA-8C60-4337-9166-B87164A2DD25}" id="{A60D6C9A-314A-1929-5A7D-439A949D6D7A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2" dT="2026-08-17T12:57:48.435" personId="{5F65BBDA-8C60-4337-9166-B87164A2DD25}" id="{481D0C26-E5CC-D457-0C6A-C60544563DA0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3" dT="2026-08-17T12:57:48.435" personId="{5F65BBDA-8C60-4337-9166-B87164A2DD25}" id="{20BF87A3-0931-3CB6-4F69-0C7F7375AC69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4" dT="2026-08-17T12:57:48.435" personId="{5F65BBDA-8C60-4337-9166-B87164A2DD25}" id="{AE774965-15E5-09B1-A280-6DFB47D7ADC8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5" dT="2026-08-17T12:57:48.435" personId="{5F65BBDA-8C60-4337-9166-B87164A2DD25}" id="{C583F0DA-41E9-2492-A335-4B6EC54D894E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6" dT="2026-08-17T12:57:48.435" personId="{5F65BBDA-8C60-4337-9166-B87164A2DD25}" id="{47323E30-D7A4-28AA-0A00-CD058CDDA45E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P6" dT="2026-08-17T12:57:48.465" personId="{5F65BBDA-8C60-4337-9166-B87164A2DD25}" id="{2FF5EA3D-D9E5-057C-F07C-4C3E1712E323}">
    <xltc:text>Source IDs: SRC-001, SRC-002, SRC-003, SRC-032, SRC-034,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7" dT="2026-08-17T12:57:48.465" personId="{5F65BBDA-8C60-4337-9166-B87164A2DD25}" id="{AFED8E27-3579-5894-87C8-2F679E657D17}">
    <xltc:text>Source IDs: SRC-001, SRC-002, SRC-003, SRC-032, SRC-034,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8" dT="2026-08-17T12:57:48.465" personId="{5F65BBDA-8C60-4337-9166-B87164A2DD25}" id="{48EBB599-8F1C-77C9-A961-78B134D415BC}">
    <xltc:text>Source IDs: SRC-001, SRC-002, SRC-003, SRC-032, SRC-033, SRC-034, SRC-035, SRC-036 | As of: 2026-08-17 | Basis: 10 OD等效预算代理（CNY） | Historical: 页面未标有效期；2024/2025沿用当前10 OD等效预算代理；Thermo/GenScript均无最终双BH​​Q精确组合价 | Quote status: 需正式询价；当前值仅作10 OD等效预算代理</xltc:text>
  </xltc:threadedComment>
  <xltc:threadedComment ref="P9" dT="2026-08-17T12:57:48.465" personId="{5F65BBDA-8C60-4337-9166-B87164A2DD25}" id="{321998B0-8EA0-AFD3-2B09-43A49AF67BF2}">
    <xltc:text>Source IDs: SRC-001, SRC-002, SRC-003, SRC-032, SRC-033, SRC-034, SRC-035, SRC-036 | As of: 2026-08-17 | Basis: 10 OD等效预算代理（CNY） | Historical: 页面未标有效期；2024/2025沿用当前10 OD等效预算代理；最终5′ROX/3′FAM无精确组合价 | Quote status: 需正式询价；当前值仅作10 OD等效预算代理</xltc:text>
  </xltc:threadedComment>
  <xltc:threadedComment ref="P10" dT="2026-08-17T12:57:48.465" personId="{5F65BBDA-8C60-4337-9166-B87164A2DD25}" id="{FDE695A9-50D4-046A-BD63-BBE15F98EE99}">
    <xltc:text>Source IDs: SRC-001, SRC-002, SRC-003, SRC-032, SRC-033, SRC-034, SRC-035, SRC-036 | As of: 2026-08-17 | Basis: 10 OD等效预算代理（CNY） | Historical: 页面未标有效期；2024/2025沿用当前10 OD等效预算代理；最终5′BHQ2无精确组合价 | Quote status: 需正式询价；当前值仅作10 OD等效预算代理</xltc:text>
  </xltc:threadedComment>
  <xltc:threadedComment ref="P11" dT="2026-08-17T12:57:48.465" personId="{5F65BBDA-8C60-4337-9166-B87164A2DD25}" id="{D341656F-D022-6EEA-2EBB-E803792232CD}">
    <xltc:text>Source IDs: SRC-001, SRC-034, SRC-035, SRC-036 | As of: 2026-08-17 | Basis: 不计费 | Historical: 不适用；旧流程与最终分子设计冲突 | Quote status: 不计费；旧第六链冲突占位</xltc:text>
  </xltc:threadedComment>
  <xltc:threadedComment ref="P12" dT="2026-08-17T12:57:48.465" personId="{5F65BBDA-8C60-4337-9166-B87164A2DD25}" id="{ECC1EA0D-6562-0897-ADB5-98702390BDA9}">
    <xltc:text>Source IDs: SRC-001, SRC-031, SRC-034, SRC-035 | As of: 2026-08-17 | Basis: 年度服务批预算代理（CNY） | Historical: 当前公开区间基准；2025按2026年6月PPI同比+4.1%回推，2024按2025上半年PPI-2.8%回推 | Quote status: 需正式询价；当前值为定制构建/扩增批预算代理</xltc:text>
  </xltc:threadedComment>
  <xltc:threadedComment ref="P13" dT="2026-08-17T12:57:48.465" personId="{5F65BBDA-8C60-4337-9166-B87164A2DD25}" id="{ED6EEBAB-EB9E-FCD8-E221-6699B16CF223}">
    <xltc:text>Source IDs: SRC-001, SRC-031, SRC-034, SRC-035 | As of: 2026-08-17 | Basis: 年度服务批预算代理（CNY） | Historical: 当前公开区间基准；2025按2026年6月PPI同比+4.1%回推，2024按2025上半年PPI-2.8%回推 | Quote status: 需正式询价；当前值为定制构建/扩增批预算代理</xltc:text>
  </xltc:threadedComment>
  <xltc:threadedComment ref="P14" dT="2026-08-17T12:57:48.465" personId="{5F65BBDA-8C60-4337-9166-B87164A2DD25}" id="{0FA55665-BF79-0CE1-43F0-8714A22AB3CF}">
    <xltc:text>Source IDs: SRC-007,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5" dT="2026-08-17T12:57:48.465" personId="{5F65BBDA-8C60-4337-9166-B87164A2DD25}" id="{BF3A1737-25D6-1339-951E-0343666889B8}">
    <xltc:text>Source IDs: SRC-008, SRC-030,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6" dT="2026-08-17T12:57:48.465" personId="{5F65BBDA-8C60-4337-9166-B87164A2DD25}" id="{CE93FFB3-9BF1-FA68-28E2-7933E478B6DC}">
    <xltc:text>Source IDs: SRC-029,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7" dT="2026-08-17T12:57:48.465" personId="{5F65BBDA-8C60-4337-9166-B87164A2DD25}" id="{21405C33-95A5-8B7F-3E60-5AC9A047E82B}">
    <xltc:text>Source IDs: SRC-029,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18" dT="2026-08-17T12:57:48.465" personId="{5F65BBDA-8C60-4337-9166-B87164A2DD25}" id="{78E6E8C4-2001-8E63-5287-6704B87AD111}">
    <xltc:text>Source IDs: SRC-029, SRC-031, SRC-009, SRC-010, SRC-011 | As of: 2026-08-17 | Basis: 高纯级原料预算锚点（CNY/kg） | Historical: 当前公开区间基准；2025按2026年6月PPI同比+4.1%回推，2024按2025上半年PPI-2.8%回推 | Quote status: 公开规格锚点；正式采购需确认分子生物学级、COA、税运和MOQ</xltc:text>
  </xltc:threadedComment>
  <xltc:threadedComment ref="P19" dT="2026-08-17T12:57:48.466" personId="{5F65BBDA-8C60-4337-9166-B87164A2DD25}" id="{29AF31C4-3804-4F94-E4A6-F2AFB4048755}">
    <xltc:text>Source IDs: SRC-029,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0" dT="2026-08-17T12:57:48.466" personId="{5F65BBDA-8C60-4337-9166-B87164A2DD25}" id="{D28C6B9C-370B-5F33-42A7-90B51510448A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1" dT="2026-08-17T12:57:48.466" personId="{5F65BBDA-8C60-4337-9166-B87164A2DD25}" id="{3855362F-C67C-9F41-3469-C8AF2C4A586E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2" dT="2026-08-17T12:57:48.466" personId="{5F65BBDA-8C60-4337-9166-B87164A2DD25}" id="{D7E5B64C-E847-B731-FDBD-6A527BFFB4A7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3" dT="2026-08-17T12:57:48.466" personId="{5F65BBDA-8C60-4337-9166-B87164A2DD25}" id="{9EFF8E8A-DB6F-EA61-6385-08CF6FAEECD9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4" dT="2026-08-17T12:57:48.466" personId="{5F65BBDA-8C60-4337-9166-B87164A2DD25}" id="{074A9B17-7896-BE10-F5C8-67F1F5008EC8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5" dT="2026-08-17T12:57:48.466" personId="{5F65BBDA-8C60-4337-9166-B87164A2DD25}" id="{C510AEC2-BA7C-8209-1B43-45C645EB6F63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6" dT="2026-08-17T12:57:48.466" personId="{5F65BBDA-8C60-4337-9166-B87164A2DD25}" id="{DD7BC0EA-BA7B-54FB-4140-F872F9377C5C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7" dT="2026-08-17T12:57:48.466" personId="{5F65BBDA-8C60-4337-9166-B87164A2DD25}" id="{ACCD5736-A151-7A49-D39A-D0B3231201E6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8" dT="2026-08-17T12:57:48.466" personId="{5F65BBDA-8C60-4337-9166-B87164A2DD25}" id="{B7F4E1F3-92E0-844D-E9FF-F5E6A464AEAE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29" dT="2026-08-17T12:57:48.466" personId="{5F65BBDA-8C60-4337-9166-B87164A2DD25}" id="{28CD89F8-968A-EC2E-40E9-C98C538D6A58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30" dT="2026-08-17T12:57:48.466" personId="{5F65BBDA-8C60-4337-9166-B87164A2DD25}" id="{03AB4212-4378-5DA1-BB3D-CE5311DC533B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1" dT="2026-08-17T12:57:48.466" personId="{5F65BBDA-8C60-4337-9166-B87164A2DD25}" id="{5C31CDA2-77A5-64ED-BDA1-187505AB4FA1}">
    <xltc:text>Source IDs: SRC-006,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2" dT="2026-08-17T12:57:48.466" personId="{5F65BBDA-8C60-4337-9166-B87164A2DD25}" id="{FAD54B14-E4A0-6498-3122-F76FA7436B3E}">
    <xltc:text>Source IDs: SRC-007, SRC-008,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3" dT="2026-08-17T12:57:48.466" personId="{5F65BBDA-8C60-4337-9166-B87164A2DD25}" id="{86836EBD-2E97-0923-9F50-95171C635868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4" dT="2026-08-17T12:57:48.466" personId="{5F65BBDA-8C60-4337-9166-B87164A2DD25}" id="{50003DDB-98F3-6C00-C5F5-60510CFC84A8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5" dT="2026-08-17T12:57:48.466" personId="{5F65BBDA-8C60-4337-9166-B87164A2DD25}" id="{4BC8FCA3-6842-F07B-6DF3-328BADC0797F}">
    <xltc:text>Source IDs: SRC-031,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6" dT="2026-08-17T12:57:48.466" personId="{5F65BBDA-8C60-4337-9166-B87164A2DD25}" id="{BDAF229A-694C-F95F-24E0-9A5290868106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37" dT="2026-08-17T12:57:48.466" personId="{5F65BBDA-8C60-4337-9166-B87164A2DD25}" id="{DC8BD426-867A-07E8-D334-DDD5D9C12330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8" dT="2026-08-17T12:57:48.466" personId="{5F65BBDA-8C60-4337-9166-B87164A2DD25}" id="{7079BC1E-2DCA-CA2E-F00D-34D7BAF967A0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39" dT="2026-08-17T12:57:48.466" personId="{5F65BBDA-8C60-4337-9166-B87164A2DD25}" id="{2A86938B-2AD4-290D-0D60-35EF0BF38F32}">
    <xltc:text>Source IDs: SRC-028, SRC-009, SRC-010, SRC-011 | As of: 2026-08-17 | Basis: 含税到厂价 | Historical: 当前公开区间基准；2025按2026年6月PPI同比+4.1%回推，2024按2025上半年PPI-2.8%回推 | Quote status: 公开价格锚点；正式采购仍需同规格、同税费和服务范围询价</xltc:text>
  </xltc:threadedComment>
  <xltc:threadedComment ref="P40" dT="2026-08-17T12:57:48.466" personId="{5F65BBDA-8C60-4337-9166-B87164A2DD25}" id="{DEEC3B1A-2134-47A9-3D98-C9BEE4B81894}">
    <xltc:text>Source IDs: SRC-028, SRC-009, SRC-010, SRC-011 | As of: 2026-08-17 | Basis: 含税到厂价 | Historical: 当前公开区间基准；2025按2026年6月PPI同比+4.1%回推，2024按2025上半年PPI-2.8%回推 | Quote status: 需正式询价；当前值仅作预算占位或低可信市场锚点</xltc:text>
  </xltc:threadedComment>
  <xltc:threadedComment ref="P41" dT="2026-08-17T12:57:48.466" personId="{5F65BBDA-8C60-4337-9166-B87164A2DD25}" id="{58EBEC56-EFED-9BB4-2FBC-B615E7A3301B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2" dT="2026-08-17T12:57:48.466" personId="{5F65BBDA-8C60-4337-9166-B87164A2DD25}" id="{2116CF35-31F6-0B7A-C79D-DF8A13E5BEA7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3" dT="2026-08-17T12:57:48.466" personId="{5F65BBDA-8C60-4337-9166-B87164A2DD25}" id="{C7F958DB-FFD3-9179-6C23-65519E44AD9C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4" dT="2026-08-17T12:57:48.466" personId="{5F65BBDA-8C60-4337-9166-B87164A2DD25}" id="{3D8C432E-2681-B4C2-234C-8B6A2EEDFAC5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5" dT="2026-08-17T12:57:48.466" personId="{5F65BBDA-8C60-4337-9166-B87164A2DD25}" id="{EE59545F-6A71-46D8-2CCA-70E724689504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6" dT="2026-08-17T12:57:48.466" personId="{5F65BBDA-8C60-4337-9166-B87164A2DD25}" id="{3E22E8EA-5916-ADCB-9E51-C36367E767B7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7" dT="2026-08-17T12:57:48.466" personId="{5F65BBDA-8C60-4337-9166-B87164A2DD25}" id="{98E148B2-26A3-6AA5-8898-D51D98B24F5D}">
    <xltc:text>Source IDs: SRC-001, SRC-002, SRC-003, SRC-032, SRC-034, SRC-035, SRC-036 | As of: 2026-08-17 | Basis: 10 OD等效预算代理（CNY） | Historical: 普通寡核苷酸公开低价与厂商合成页面仅作锚点；2024/2025沿用当前10 OD代理，不用宏观PPI机械回推具体序列 | Quote status: 需正式询价；当前值仅作10 OD等效预算代理</xltc:text>
  </xltc:threadedComment>
  <xltc:threadedComment ref="P48" dT="2026-08-17T12:57:48.466" personId="{5F65BBDA-8C60-4337-9166-B87164A2DD25}" id="{85B8B9B9-EBD4-9A1A-4A55-F21E446AD7C9}">
    <xltc:text>Source IDs: SRC-009, SRC-010, SRC-011, SRC-029, SRC-031, SRC-034, SRC-035 | As of: 2026-08-17 | Basis: 分子生物学级原料预算锚点（CNY/L） | Historical: undefined | Quote status: 公开规格锚点；正式采购需确认低荧光/低核酸酶、COA、税运和MOQ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3dcf6bb6dd944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e7825ded83b54593" /><Relationship Type="http://schemas.openxmlformats.org/officeDocument/2006/relationships/vmlDrawing" Target="/xl/drawings/vmldrawing.vml" Id="R0bd6cdf64b304790" /><Relationship Type="http://schemas.microsoft.com/office/2017/10/relationships/threadedComment" Target="/xl/threadedcomments/threadedcomment.xml" Id="Rf13eb6f56e1442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4215ea2bc899451d" /><Relationship Type="http://schemas.openxmlformats.org/officeDocument/2006/relationships/vmlDrawing" Target="/xl/drawings/vmldrawing2.vml" Id="R810d8c04c5b7472c" /><Relationship Type="http://schemas.microsoft.com/office/2017/10/relationships/threadedComment" Target="/xl/threadedcomments/threadedcomment2.xml" Id="R466bc22451c34ebe" /><Relationship Type="http://schemas.openxmlformats.org/officeDocument/2006/relationships/table" Target="/xl/tables/table1.xml" Id="R01867ea936424c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e7d8d1e04d1844d9" /><Relationship Type="http://schemas.openxmlformats.org/officeDocument/2006/relationships/vmlDrawing" Target="/xl/drawings/vmldrawing3.vml" Id="R3cf298a0e5f94f00" /><Relationship Type="http://schemas.microsoft.com/office/2017/10/relationships/threadedComment" Target="/xl/threadedcomments/threadedcomment3.xml" Id="Rd5668b10a9994083" /><Relationship Type="http://schemas.openxmlformats.org/officeDocument/2006/relationships/table" Target="/xl/tables/table2.xml" Id="R200bb1ec470e43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142de94ced674bbf" /><Relationship Type="http://schemas.openxmlformats.org/officeDocument/2006/relationships/vmlDrawing" Target="/xl/drawings/vmldrawing4.vml" Id="Rff04637423374d31" /><Relationship Type="http://schemas.microsoft.com/office/2017/10/relationships/threadedComment" Target="/xl/threadedcomments/threadedcomment4.xml" Id="Re7a75731f93d46c2" /><Relationship Type="http://schemas.openxmlformats.org/officeDocument/2006/relationships/table" Target="/xl/tables/table3.xml" Id="R49011f3f05b041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2d26232ea7647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d43facbe2b9d45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103515f80ac04b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42b0f5b3738c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CD-Probe 生产项目超级精细化经费评估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版本 1.0 | 基准日 2026-08-17 | CNY | 成都/四川 | 含税到厂价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模型用途与边界</x:v>
      </x:c>
      <x:c r="B4" s="10"/>
      <x:c r="C4" s="10"/>
      <x:c r="D4" s="10"/>
      <x:c r="E4" s="10"/>
      <x:c r="F4" s="10"/>
      <x:c r="G4" s="10"/>
      <x:c r="H4" s="10"/>
    </x:row>
    <x:row r="5" ht="30" customHeight="1">
      <x:c r="A5" s="11" t="str">
        <x:v>用途</x:v>
      </x:c>
      <x:c r="B5" s="13" t="str">
        <x:v>项目立项、预算编制、采购询价准备和敏感性分析</x:v>
      </x:c>
      <x:c r="C5" s="13"/>
      <x:c r="D5" s="13"/>
      <x:c r="E5" s="13"/>
      <x:c r="F5" s="13"/>
      <x:c r="G5" s="13"/>
      <x:c r="H5" s="13"/>
    </x:row>
    <x:row r="6" ht="30" customHeight="1">
      <x:c r="A6" s="11" t="str">
        <x:v>默认情景</x:v>
      </x:c>
      <x:c r="B6" s="13" t="str">
        <x:v>S2 早期商业化：50,000 盒/年、1,000 m2</x:v>
      </x:c>
      <x:c r="C6" s="13"/>
      <x:c r="D6" s="13"/>
      <x:c r="E6" s="13"/>
      <x:c r="F6" s="13"/>
      <x:c r="G6" s="13"/>
      <x:c r="H6" s="13"/>
    </x:row>
    <x:row r="7" ht="30" customHeight="1">
      <x:c r="A7" s="11" t="str">
        <x:v>关键限制</x:v>
      </x:c>
      <x:c r="B7" s="13" t="str">
        <x:v>公开价、成交价、市场区间和指数回推不等于正式报价；78 项被明确标记为需正式询价。</x:v>
      </x:c>
      <x:c r="C7" s="13"/>
      <x:c r="D7" s="13"/>
      <x:c r="E7" s="13"/>
      <x:c r="F7" s="13"/>
      <x:c r="G7" s="13"/>
      <x:c r="H7" s="13"/>
    </x:row>
    <x:row r="8" ht="30" customHeight="1">
      <x:c r="A8" s="11" t="str">
        <x:v>采购动作</x:v>
      </x:c>
      <x:c r="B8" s="13" t="str">
        <x:v>相同规格、数量、税费、运费、安装、验证、培训、交期和售后范围至少询价 2-3 家。</x:v>
      </x:c>
      <x:c r="C8" s="13"/>
      <x:c r="D8" s="13"/>
      <x:c r="E8" s="13"/>
      <x:c r="F8" s="13"/>
      <x:c r="G8" s="13"/>
      <x:c r="H8" s="13"/>
    </x:row>
    <x:row r="10">
      <x:c r="A10" s="10" t="str">
        <x:v>颜色与公式图例</x:v>
      </x:c>
      <x:c r="B10" s="10"/>
      <x:c r="C10" s="10"/>
      <x:c r="D10" s="10"/>
      <x:c r="E10" s="10"/>
      <x:c r="F10" s="10"/>
      <x:c r="G10" s="10"/>
      <x:c r="H10" s="10"/>
    </x:row>
    <x:row r="11">
      <x:c r="A11" s="25" t="str">
        <x:v>角色</x:v>
      </x:c>
      <x:c r="B11" s="26" t="str">
        <x:v>样式</x:v>
      </x:c>
      <x:c r="C11" s="26" t="str">
        <x:v>含义</x:v>
      </x:c>
      <x:c r="D11" s="27" t="str">
        <x:v>操作</x:v>
      </x:c>
    </x:row>
    <x:row r="12">
      <x:c r="A12" t="str">
        <x:v>可编辑输入</x:v>
      </x:c>
      <x:c r="B12" s="29" t="str">
        <x:v>蓝字/浅蓝底</x:v>
      </x:c>
      <x:c r="C12" t="str">
        <x:v>情景和模型假设</x:v>
      </x:c>
      <x:c r="D12" t="str">
        <x:v>可按项目实际修改</x:v>
      </x:c>
    </x:row>
    <x:row r="13">
      <x:c r="A13" t="str">
        <x:v>表内公式</x:v>
      </x:c>
      <x:c r="B13" s="30" t="str">
        <x:v>黑字</x:v>
      </x:c>
      <x:c r="C13" t="str">
        <x:v>同表计算</x:v>
      </x:c>
      <x:c r="D13" t="str">
        <x:v>不要覆盖</x:v>
      </x:c>
    </x:row>
    <x:row r="14">
      <x:c r="A14" t="str">
        <x:v>跨表公式</x:v>
      </x:c>
      <x:c r="B14" s="31" t="str">
        <x:v>绿字</x:v>
      </x:c>
      <x:c r="C14" t="str">
        <x:v>引用其他工作表</x:v>
      </x:c>
      <x:c r="D14" t="str">
        <x:v>不要覆盖</x:v>
      </x:c>
    </x:row>
    <x:row r="15">
      <x:c r="A15" t="str">
        <x:v>待确认</x:v>
      </x:c>
      <x:c r="B15" s="33" t="str">
        <x:v>黄色</x:v>
      </x:c>
      <x:c r="C15" t="str">
        <x:v>低可信或需询价</x:v>
      </x:c>
      <x:c r="D15" t="str">
        <x:v>优先获取正式报价</x:v>
      </x:c>
    </x:row>
    <x:row r="16">
      <x:c r="A16" t="str">
        <x:v>失败/高风险</x:v>
      </x:c>
      <x:c r="B16" s="35" t="str">
        <x:v>红色</x:v>
      </x:c>
      <x:c r="C16" t="str">
        <x:v>检查失败或门槛不满足</x:v>
      </x:c>
      <x:c r="D16" t="str">
        <x:v>按修复位置处理</x:v>
      </x:c>
    </x:row>
    <x:row r="18">
      <x:c r="A18" s="10" t="str">
        <x:v>可信度 0-10 解释</x:v>
      </x:c>
      <x:c r="B18" s="10"/>
      <x:c r="C18" s="10"/>
      <x:c r="D18" s="10"/>
      <x:c r="E18" s="10"/>
      <x:c r="F18" s="10"/>
      <x:c r="G18" s="10"/>
      <x:c r="H18" s="10"/>
    </x:row>
    <x:row r="19">
      <x:c r="A19" s="25" t="str">
        <x:v>分值</x:v>
      </x:c>
      <x:c r="B19" s="26" t="str">
        <x:v>证据等级</x:v>
      </x:c>
      <x:c r="C19" s="27" t="str">
        <x:v>预算使用建议</x:v>
      </x:c>
    </x:row>
    <x:row r="20">
      <x:c r="A20" t="str">
        <x:v>9-10</x:v>
      </x:c>
      <x:c r="B20" t="str">
        <x:v>官方当前精确型号、税费和服务范围明确</x:v>
      </x:c>
      <x:c r="C20" t="str">
        <x:v>可作为强锚点，仍需采购询价</x:v>
      </x:c>
    </x:row>
    <x:row r="21">
      <x:c r="A21" t="str">
        <x:v>7-8</x:v>
      </x:c>
      <x:c r="B21" t="str">
        <x:v>公开成交/授权渠道/多源一致</x:v>
      </x:c>
      <x:c r="C21" t="str">
        <x:v>可用于基准预算</x:v>
      </x:c>
    </x:row>
    <x:row r="22">
      <x:c r="A22" t="str">
        <x:v>5-6</x:v>
      </x:c>
      <x:c r="B22" t="str">
        <x:v>可信渠道但口径不完整</x:v>
      </x:c>
      <x:c r="C22" t="str">
        <x:v>保留区间并复核</x:v>
      </x:c>
    </x:row>
    <x:row r="23">
      <x:c r="A23" t="str">
        <x:v>3-4</x:v>
      </x:c>
      <x:c r="B23" t="str">
        <x:v>平台、市场区间或指数回推</x:v>
      </x:c>
      <x:c r="C23" t="str">
        <x:v>敏感性使用，必须询价</x:v>
      </x:c>
    </x:row>
    <x:row r="24">
      <x:c r="A24" t="str">
        <x:v>1-2</x:v>
      </x:c>
      <x:c r="B24" t="str">
        <x:v>工程经验或预算占位</x:v>
      </x:c>
      <x:c r="C24" t="str">
        <x:v>不得作为采购承诺</x:v>
      </x:c>
    </x:row>
    <x:row r="25">
      <x:c r="A25" t="str">
        <x:v>0</x:v>
      </x:c>
      <x:c r="B25" t="str">
        <x:v>无可用来源</x:v>
      </x:c>
      <x:c r="C25" t="str">
        <x:v>不纳入可信基准</x:v>
      </x:c>
    </x:row>
    <x:row r="27">
      <x:c r="A27" s="10" t="str">
        <x:v>刷新步骤</x:v>
      </x:c>
      <x:c r="B27" s="10"/>
      <x:c r="C27" s="10"/>
      <x:c r="D27" s="10"/>
      <x:c r="E27" s="10"/>
      <x:c r="F27" s="10"/>
      <x:c r="G27" s="10"/>
      <x:c r="H27" s="10"/>
    </x:row>
    <x:row r="28">
      <x:c r="A28" s="36" t="str">
        <x:v>1</x:v>
      </x:c>
      <x:c r="B28" s="13" t="str">
        <x:v>在 02_假设与情景 修改情景、良率、损耗率、预备费率和权重。</x:v>
      </x:c>
      <x:c r="C28" s="13"/>
      <x:c r="D28" s="13"/>
      <x:c r="E28" s="13"/>
      <x:c r="F28" s="13"/>
      <x:c r="G28" s="13"/>
      <x:c r="H28" s="13"/>
    </x:row>
    <x:row r="29">
      <x:c r="A29" s="36" t="str">
        <x:v>2</x:v>
      </x:c>
      <x:c r="B29" s="13" t="str">
        <x:v>在明细表按同一规格更新价格、区间、来源 ID、税费和询价状态。</x:v>
      </x:c>
      <x:c r="C29" s="13"/>
      <x:c r="D29" s="13"/>
      <x:c r="E29" s="13"/>
      <x:c r="F29" s="13"/>
      <x:c r="G29" s="13"/>
      <x:c r="H29" s="13"/>
    </x:row>
    <x:row r="30">
      <x:c r="A30" s="36" t="str">
        <x:v>3</x:v>
      </x:c>
      <x:c r="B30" s="13" t="str">
        <x:v>在 09_来源审计 记录完整 URL、日期、发布方、口径和备注。</x:v>
      </x:c>
      <x:c r="C30" s="13"/>
      <x:c r="D30" s="13"/>
      <x:c r="E30" s="13"/>
      <x:c r="F30" s="13"/>
      <x:c r="G30" s="13"/>
      <x:c r="H30" s="13"/>
    </x:row>
    <x:row r="31">
      <x:c r="A31" s="36" t="str">
        <x:v>4</x:v>
      </x:c>
      <x:c r="B31" s="13" t="str">
        <x:v>复核 10_检查 全部为 PASS；再阅读 01_执行摘要 的低可信敞口。</x:v>
      </x:c>
      <x:c r="C31" s="13"/>
      <x:c r="D31" s="13"/>
      <x:c r="E31" s="13"/>
      <x:c r="F31" s="13"/>
      <x:c r="G31" s="13"/>
      <x:c r="H31" s="13"/>
    </x:row>
    <x:row r="32">
      <x:c r="A32" s="36" t="str">
        <x:v>5</x:v>
      </x:c>
      <x:c r="B32" s="13" t="str">
        <x:v>定制寡核苷酸、质粒和酶类替换必须完成小试与三批一致性/性能再验证。</x:v>
      </x:c>
      <x:c r="C32" s="13"/>
      <x:c r="D32" s="13"/>
      <x:c r="E32" s="13"/>
      <x:c r="F32" s="13"/>
      <x:c r="G32" s="13"/>
      <x:c r="H32" s="13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A18:H18"/>
    <x:mergeCell ref="A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" hidden="0" customWidth="1"/>
    <x:col min="4" max="4" width="14" hidden="0" customWidth="1"/>
    <x:col min="5" max="5" width="14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3" hidden="0" customWidth="1"/>
    <x:col min="12" max="12" width="14" hidden="0" customWidth="1"/>
    <x:col min="13" max="13" width="16" hidden="0" customWidth="1"/>
    <x:col min="14" max="14" width="16" hidden="0" customWidth="1"/>
    <x:col min="15" max="15" width="22" hidden="0" customWidth="1"/>
    <x:col min="16" max="16" width="14" hidden="0" customWidth="1"/>
    <x:col min="17" max="17" width="12" hidden="0" customWidth="1"/>
  </x:cols>
  <x:sheetData>
    <x:row r="1" ht="30" customHeight="1">
      <x:c r="A1" s="3" t="str">
        <x:v>执行摘要与资金需求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默认情景 S2；所有金额为 含税到厂价，正式采购前需同规格询价。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0" t="str">
        <x:v>MODEL STATUS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>
      <x:c r="A5" s="77" t="str">
        <x:v>当前情景</x:v>
      </x:c>
      <x:c r="B5" s="78" t="str">
        <x:f>'02_假设与情景'!$B$5</x:f>
        <x:v>S2</x:v>
      </x:c>
      <x:c r="C5" s="77"/>
      <x:c r="D5" s="77" t="str">
        <x:v>整体检查</x:v>
      </x:c>
      <x:c r="E5" s="78" t="str">
        <x:f>'10_检查'!$B$3</x:f>
        <x:v>PASS</x:v>
      </x:c>
      <x:c r="F5" s="77"/>
      <x:c r="G5" s="77" t="str">
        <x:v>低可信与需询价金额必须优先通过同规格、同税费和同服务边界的 2-3 家正式报价关闭。</x:v>
      </x:c>
      <x:c r="H5" s="77"/>
      <x:c r="I5" s="77"/>
      <x:c r="J5" s="77"/>
      <x:c r="K5" s="77"/>
      <x:c r="L5" s="77"/>
      <x:c r="M5" s="77"/>
      <x:c r="N5" s="77"/>
    </x:row>
    <x:row r="7">
      <x:c r="A7" s="10" t="str">
        <x:v>核心预算指标</x:v>
      </x:c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</x:row>
    <x:row r="8">
      <x:c r="A8" s="79" t="str">
        <x:v>CAPEX</x:v>
      </x:c>
      <x:c r="B8" s="79"/>
      <x:c r="C8" s="79"/>
      <x:c r="D8" s="79" t="str">
        <x:v>年度 OPEX</x:v>
      </x:c>
      <x:c r="E8" s="79"/>
      <x:c r="F8" s="79"/>
      <x:c r="G8" s="79" t="str">
        <x:v>年度 BOM</x:v>
      </x:c>
      <x:c r="H8" s="79"/>
      <x:c r="I8" s="79"/>
      <x:c r="J8" s="79" t="str">
        <x:v>首年资金需求</x:v>
      </x:c>
      <x:c r="K8" s="79"/>
      <x:c r="L8" s="79"/>
    </x:row>
    <x:row r="9">
      <x:c r="A9" s="84" t="n">
        <x:f>'03_CAPEX建设设备'!$A$4</x:f>
        <x:v>15503000</x:v>
      </x:c>
      <x:c r="B9" s="84"/>
      <x:c r="C9" s="84"/>
      <x:c r="D9" s="84" t="n">
        <x:f>'04_OPEX年度运营'!$A$4</x:f>
        <x:v>13939700</x:v>
      </x:c>
      <x:c r="E9" s="82"/>
      <x:c r="F9" s="82"/>
      <x:c r="G9" s="84" t="n">
        <x:f>ROUND('05_原辅料BOM'!$A$4,0)</x:f>
        <x:v>7347164</x:v>
      </x:c>
      <x:c r="H9" s="84"/>
      <x:c r="I9" s="84"/>
      <x:c r="J9" s="84" t="n">
        <x:f>ROUND(A9+D9+G9+A11+D11+J11,0)</x:f>
        <x:v>40989927</x:v>
      </x:c>
      <x:c r="K9" s="81"/>
      <x:c r="L9" s="81"/>
    </x:row>
    <x:row r="10">
      <x:c r="A10" s="85" t="str">
        <x:v>CAPEX 预备费</x:v>
      </x:c>
      <x:c r="B10" s="85"/>
      <x:c r="C10" s="85"/>
      <x:c r="D10" s="85" t="str">
        <x:v>OPEX 预备费</x:v>
      </x:c>
      <x:c r="E10" s="83"/>
      <x:c r="F10" s="83"/>
      <x:c r="G10" s="85" t="str">
        <x:v>单位制造成本</x:v>
      </x:c>
      <x:c r="H10" s="85"/>
      <x:c r="I10" s="85"/>
      <x:c r="J10" s="85" t="str">
        <x:v>初始库存</x:v>
      </x:c>
      <x:c r="K10" s="79"/>
      <x:c r="L10" s="79"/>
    </x:row>
    <x:row r="11">
      <x:c r="A11" s="84" t="n">
        <x:f>A9*'02_假设与情景'!$B$10</x:f>
        <x:v>1860360</x:v>
      </x:c>
      <x:c r="B11" s="84"/>
      <x:c r="C11" s="84"/>
      <x:c r="D11" s="84" t="n">
        <x:f>D9*'02_假设与情景'!$B$11</x:f>
        <x:v>1115176</x:v>
      </x:c>
      <x:c r="E11" s="82"/>
      <x:c r="F11" s="82"/>
      <x:c r="G11" s="84" t="n">
        <x:f>ROUND((D9+G9)/'02_假设与情景'!$B$6,2)</x:f>
        <x:v>425.74</x:v>
      </x:c>
      <x:c r="H11" s="84"/>
      <x:c r="I11" s="84"/>
      <x:c r="J11" s="84" t="n">
        <x:f>ROUND(G9/12*'02_假设与情景'!$B$12,0)</x:f>
        <x:v>1224527</x:v>
      </x:c>
      <x:c r="K11" s="81"/>
      <x:c r="L11" s="81"/>
    </x:row>
    <x:row r="12">
      <x:c r="A12" s="83" t="str">
        <x:v>来源覆盖率</x:v>
      </x:c>
      <x:c r="B12" s="83"/>
      <x:c r="C12" s="83"/>
      <x:c r="D12" s="83" t="str">
        <x:v>高可信覆盖率</x:v>
      </x:c>
      <x:c r="E12" s="83"/>
      <x:c r="F12" s="83"/>
      <x:c r="G12" s="83" t="str">
        <x:v>低可信金额</x:v>
      </x:c>
      <x:c r="H12" s="83"/>
      <x:c r="I12" s="83"/>
      <x:c r="J12" s="83" t="str">
        <x:v>待询价项目数</x:v>
      </x:c>
      <x:c r="K12" s="79"/>
      <x:c r="L12" s="79"/>
    </x:row>
    <x:row r="13">
      <x:c r="A13" s="86" t="n">
        <x:f>(SUMIF('03_CAPEX建设设备'!$Y$6:$Y$57,"&lt;&gt;",'03_CAPEX建设设备'!$U$6:$U$57)+SUMIF('04_OPEX年度运营'!$Y$6:$Y$36,"&lt;&gt;",'04_OPEX年度运营'!$U$6:$U$36)+SUMIF('05_原辅料BOM'!$Y$6:$Y$48,"&lt;&gt;",'05_原辅料BOM'!$U$6:$U$48))/(A9+D9+G9)</x:f>
        <x:v>1.00000000543628</x:v>
      </x:c>
      <x:c r="B13" s="86"/>
      <x:c r="C13" s="86"/>
      <x:c r="D13" s="86" t="n">
        <x:f>(SUMIF('03_CAPEX建设设备'!$X$6:$X$57,"&gt;=7",'03_CAPEX建设设备'!$U$6:$U$57)+SUMIF('04_OPEX年度运营'!$X$6:$X$36,"&gt;=7",'04_OPEX年度运营'!$U$6:$U$36)+SUMIF('05_原辅料BOM'!$X$6:$X$48,"&gt;=7",'05_原辅料BOM'!$U$6:$U$48))/(A9+D9+G9)</x:f>
        <x:v>0.28097956545857306</x:v>
      </x:c>
      <x:c r="E13" s="82"/>
      <x:c r="F13" s="82"/>
      <x:c r="G13" s="84" t="n">
        <x:f>ROUND(SUMIF('03_CAPEX建设设备'!$X$6:$X$57,"&lt;=4",'03_CAPEX建设设备'!$U$6:$U$57)+SUMIF('04_OPEX年度运营'!$X$6:$X$36,"&lt;=4",'04_OPEX年度运营'!$U$6:$U$36)+SUMIF('05_原辅料BOM'!$X$6:$X$48,"&lt;=4",'05_原辅料BOM'!$U$6:$U$48),0)</x:f>
        <x:v>24060883</x:v>
      </x:c>
      <x:c r="H13" s="82"/>
      <x:c r="I13" s="82"/>
      <x:c r="J13" s="87" t="n">
        <x:f>COUNTIF('03_CAPEX建设设备'!$Z$6:$Z$57,"需正式询价；当前值仅作预算占位或低可信市场锚点")+COUNTIF('03_CAPEX建设设备'!$Z$6:$Z$57,"需正式询价；当前值仅作10 OD等效预算代理")+COUNTIF('03_CAPEX建设设备'!$Z$6:$Z$57,"需正式询价；当前值为定制构建/扩增批预算代理")+COUNTIF('04_OPEX年度运营'!$Z$6:$Z$36,"需正式询价；当前值仅作预算占位或低可信市场锚点")+COUNTIF('04_OPEX年度运营'!$Z$6:$Z$36,"需正式询价；当前值仅作10 OD等效预算代理")+COUNTIF('04_OPEX年度运营'!$Z$6:$Z$36,"需正式询价；当前值为定制构建/扩增批预算代理")+COUNTIF('05_原辅料BOM'!$Z$6:$Z$48,"需正式询价；当前值仅作预算占位或低可信市场锚点")+COUNTIF('05_原辅料BOM'!$Z$6:$Z$48,"需正式询价；当前值仅作10 OD等效预算代理")+COUNTIF('05_原辅料BOM'!$Z$6:$Z$48,"需正式询价；当前值为定制构建/扩增批预算代理")</x:f>
        <x:v>78</x:v>
      </x:c>
      <x:c r="K13" s="81"/>
      <x:c r="L13" s="81"/>
    </x:row>
    <x:row r="15">
      <x:c r="A15" s="10" t="str">
        <x:v>管理图表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56">
      <x:c r="A56" s="25" t="str">
        <x:v>CAPEX类别</x:v>
      </x:c>
      <x:c r="B56" s="27" t="str">
        <x:v>金额</x:v>
      </x:c>
      <x:c r="D56" s="25" t="str">
        <x:v>OPEX类别</x:v>
      </x:c>
      <x:c r="E56" s="27" t="str">
        <x:v>金额</x:v>
      </x:c>
      <x:c r="G56" s="25" t="str">
        <x:v>情景</x:v>
      </x:c>
      <x:c r="H56" s="26" t="str">
        <x:v>CAPEX</x:v>
      </x:c>
      <x:c r="I56" s="26" t="str">
        <x:v>OPEX+BOM</x:v>
      </x:c>
      <x:c r="J56" s="27" t="str">
        <x:v>首年资金</x:v>
      </x:c>
      <x:c r="L56" s="25" t="str">
        <x:v>年度</x:v>
      </x:c>
      <x:c r="M56" s="27" t="str">
        <x:v>选中数量总预算</x:v>
      </x:c>
      <x:c r="O56" s="25" t="str">
        <x:v>候选</x:v>
      </x:c>
      <x:c r="P56" s="26" t="str">
        <x:v>到厂价</x:v>
      </x:c>
      <x:c r="Q56" s="27" t="str">
        <x:v>质量分</x:v>
      </x:c>
    </x:row>
    <x:row r="57">
      <x:c r="A57" t="str">
        <x:v>前期与设计</x:v>
      </x:c>
      <x:c r="B57" s="66" t="n">
        <x:f>SUMIF('03_CAPEX建设设备'!$B$6:$B$57,A57,'03_CAPEX建设设备'!$U$6:$U$57)</x:f>
        <x:v>250000</x:v>
      </x:c>
      <x:c r="D57" t="str">
        <x:v>场地</x:v>
      </x:c>
      <x:c r="E57" s="66" t="n">
        <x:f>SUMIF('04_OPEX年度运营'!$B$6:$B$36,D57,'04_OPEX年度运营'!$U$6:$U$36)</x:f>
        <x:v>674400</x:v>
      </x:c>
      <x:c r="G57" t="str">
        <x:v>S1</x:v>
      </x:c>
      <x:c r="H57" s="66" t="n">
        <x:f>SUMPRODUCT('03_CAPEX建设设备'!$G$6:$G$57,'03_CAPEX建设设备'!$P$6:$P$57)</x:f>
        <x:v>11842000</x:v>
      </x:c>
      <x:c r="I57" s="66" t="n">
        <x:f>SUMPRODUCT('04_OPEX年度运营'!$G$6:$G$36,'04_OPEX年度运营'!$P$6:$P$36)+ROUND('05_原辅料BOM'!$G$6/'02_假设与情景'!$B$8*(1+'02_假设与情景'!$B$9)*'05_原辅料BOM'!$P$6,2)+ROUND('05_原辅料BOM'!$G$7/'02_假设与情景'!$B$8*(1+'02_假设与情景'!$B$9)*'05_原辅料BOM'!$P$7,2)+ROUND('05_原辅料BOM'!$G$8/'02_假设与情景'!$B$8*(1+'02_假设与情景'!$B$9)*'05_原辅料BOM'!$P$8,2)+ROUND('05_原辅料BOM'!$G$9/'02_假设与情景'!$B$8*(1+'02_假设与情景'!$B$9)*'05_原辅料BOM'!$P$9,2)+ROUND('05_原辅料BOM'!$G$10/'02_假设与情景'!$B$8*(1+'02_假设与情景'!$B$9)*'05_原辅料BOM'!$P$10,2)+ROUND('05_原辅料BOM'!$G$11/'02_假设与情景'!$B$8*(1+'02_假设与情景'!$B$9)*'05_原辅料BOM'!$P$11,2)+ROUND('05_原辅料BOM'!$G$12*'05_原辅料BOM'!$P$12,2)+ROUND('05_原辅料BOM'!$G$13*'05_原辅料BOM'!$P$13,2)+ROUND('05_原辅料BOM'!$G$14/'02_假设与情景'!$B$8*(1+'02_假设与情景'!$B$9)*'05_原辅料BOM'!$P$14,2)+ROUND('05_原辅料BOM'!$G$15/'02_假设与情景'!$B$8*(1+'02_假设与情景'!$B$9)*'05_原辅料BOM'!$P$15,2)+ROUND('05_原辅料BOM'!$G$16/'02_假设与情景'!$B$8*(1+'02_假设与情景'!$B$9)*'05_原辅料BOM'!$P$16,2)+ROUND('05_原辅料BOM'!$G$17/'02_假设与情景'!$B$8*(1+'02_假设与情景'!$B$9)*'05_原辅料BOM'!$P$17,2)+ROUND('05_原辅料BOM'!$G$18/'02_假设与情景'!$B$8*(1+'02_假设与情景'!$B$9)*'05_原辅料BOM'!$P$18,2)+ROUND('05_原辅料BOM'!$G$19/'02_假设与情景'!$B$8*(1+'02_假设与情景'!$B$9)*'05_原辅料BOM'!$P$19,2)+ROUND('05_原辅料BOM'!$G$20*'05_原辅料BOM'!$P$20,2)+ROUND('05_原辅料BOM'!$G$21/'02_假设与情景'!$B$8*(1+'02_假设与情景'!$B$9)*'05_原辅料BOM'!$P$21,2)+ROUND('05_原辅料BOM'!$G$22/'02_假设与情景'!$B$8*(1+'02_假设与情景'!$B$9)*'05_原辅料BOM'!$P$22,2)+ROUND('05_原辅料BOM'!$G$23/'02_假设与情景'!$B$8*(1+'02_假设与情景'!$B$9)*'05_原辅料BOM'!$P$23,2)+ROUND('05_原辅料BOM'!$G$24/'02_假设与情景'!$B$8*(1+'02_假设与情景'!$B$9)*'05_原辅料BOM'!$P$24,2)+ROUND('05_原辅料BOM'!$G$25/'02_假设与情景'!$B$8*(1+'02_假设与情景'!$B$9)*'05_原辅料BOM'!$P$25,2)+ROUND('05_原辅料BOM'!$G$26/'02_假设与情景'!$B$8*(1+'02_假设与情景'!$B$9)*'05_原辅料BOM'!$P$26,2)+ROUND('05_原辅料BOM'!$G$27/'02_假设与情景'!$B$8*(1+'02_假设与情景'!$B$9)*'05_原辅料BOM'!$P$27,2)+ROUND('05_原辅料BOM'!$G$28/'02_假设与情景'!$B$8*(1+'02_假设与情景'!$B$9)*'05_原辅料BOM'!$P$28,2)+ROUND('05_原辅料BOM'!$G$29/'02_假设与情景'!$B$8*(1+'02_假设与情景'!$B$9)*'05_原辅料BOM'!$P$29,2)+ROUND('05_原辅料BOM'!$G$30*'05_原辅料BOM'!$P$30,2)+ROUND('05_原辅料BOM'!$G$31*'05_原辅料BOM'!$P$31,2)+ROUND('05_原辅料BOM'!$G$32*'05_原辅料BOM'!$P$32,2)+ROUND('05_原辅料BOM'!$G$33*'05_原辅料BOM'!$P$33,2)+ROUND('05_原辅料BOM'!$G$34*'05_原辅料BOM'!$P$34,2)+ROUND('05_原辅料BOM'!$G$35*'05_原辅料BOM'!$P$35,2)+ROUND('05_原辅料BOM'!$G$36*'05_原辅料BOM'!$P$36,2)+ROUND('05_原辅料BOM'!$G$37*'05_原辅料BOM'!$P$37,2)+ROUND('05_原辅料BOM'!$G$38*'05_原辅料BOM'!$P$38,2)+ROUND('05_原辅料BOM'!$G$39*'05_原辅料BOM'!$P$39,2)+ROUND('05_原辅料BOM'!$G$40*'05_原辅料BOM'!$P$40,2)+ROUND('05_原辅料BOM'!$G$41/'02_假设与情景'!$B$8*(1+'02_假设与情景'!$B$9)*'05_原辅料BOM'!$P$41,2)+ROUND('05_原辅料BOM'!$G$42/'02_假设与情景'!$B$8*(1+'02_假设与情景'!$B$9)*'05_原辅料BOM'!$P$42,2)+ROUND('05_原辅料BOM'!$G$43/'02_假设与情景'!$B$8*(1+'02_假设与情景'!$B$9)*'05_原辅料BOM'!$P$43,2)+ROUND('05_原辅料BOM'!$G$44/'02_假设与情景'!$B$8*(1+'02_假设与情景'!$B$9)*'05_原辅料BOM'!$P$44,2)+ROUND('05_原辅料BOM'!$G$45/'02_假设与情景'!$B$8*(1+'02_假设与情景'!$B$9)*'05_原辅料BOM'!$P$45,2)+ROUND('05_原辅料BOM'!$G$46/'02_假设与情景'!$B$8*(1+'02_假设与情景'!$B$9)*'05_原辅料BOM'!$P$46,2)+ROUND('05_原辅料BOM'!$G$47/'02_假设与情景'!$B$8*(1+'02_假设与情景'!$B$9)*'05_原辅料BOM'!$P$47,2)+ROUND('05_原辅料BOM'!$G$48/'02_假设与情景'!$B$8*(1+'02_假设与情景'!$B$9)*'05_原辅料BOM'!$P$48,2)</x:f>
        <x:v>10141352.850000003</x:v>
      </x:c>
      <x:c r="J57" s="66" t="n">
        <x:f>SUMPRODUCT('03_CAPEX建设设备'!$G$6:$G$57,'03_CAPEX建设设备'!$P$6:$P$57)*(1+'02_假设与情景'!$B$10)+SUMPRODUCT('04_OPEX年度运营'!$G$6:$G$36,'04_OPEX年度运营'!$P$6:$P$36)*(1+'02_假设与情景'!$B$11)+ROUND('05_原辅料BOM'!$G$6/'02_假设与情景'!$B$8*(1+'02_假设与情景'!$B$9)*'05_原辅料BOM'!$P$6,2)+ROUND('05_原辅料BOM'!$G$7/'02_假设与情景'!$B$8*(1+'02_假设与情景'!$B$9)*'05_原辅料BOM'!$P$7,2)+ROUND('05_原辅料BOM'!$G$8/'02_假设与情景'!$B$8*(1+'02_假设与情景'!$B$9)*'05_原辅料BOM'!$P$8,2)+ROUND('05_原辅料BOM'!$G$9/'02_假设与情景'!$B$8*(1+'02_假设与情景'!$B$9)*'05_原辅料BOM'!$P$9,2)+ROUND('05_原辅料BOM'!$G$10/'02_假设与情景'!$B$8*(1+'02_假设与情景'!$B$9)*'05_原辅料BOM'!$P$10,2)+ROUND('05_原辅料BOM'!$G$11/'02_假设与情景'!$B$8*(1+'02_假设与情景'!$B$9)*'05_原辅料BOM'!$P$11,2)+ROUND('05_原辅料BOM'!$G$12*'05_原辅料BOM'!$P$12,2)+ROUND('05_原辅料BOM'!$G$13*'05_原辅料BOM'!$P$13,2)+ROUND('05_原辅料BOM'!$G$14/'02_假设与情景'!$B$8*(1+'02_假设与情景'!$B$9)*'05_原辅料BOM'!$P$14,2)+ROUND('05_原辅料BOM'!$G$15/'02_假设与情景'!$B$8*(1+'02_假设与情景'!$B$9)*'05_原辅料BOM'!$P$15,2)+ROUND('05_原辅料BOM'!$G$16/'02_假设与情景'!$B$8*(1+'02_假设与情景'!$B$9)*'05_原辅料BOM'!$P$16,2)+ROUND('05_原辅料BOM'!$G$17/'02_假设与情景'!$B$8*(1+'02_假设与情景'!$B$9)*'05_原辅料BOM'!$P$17,2)+ROUND('05_原辅料BOM'!$G$18/'02_假设与情景'!$B$8*(1+'02_假设与情景'!$B$9)*'05_原辅料BOM'!$P$18,2)+ROUND('05_原辅料BOM'!$G$19/'02_假设与情景'!$B$8*(1+'02_假设与情景'!$B$9)*'05_原辅料BOM'!$P$19,2)+ROUND('05_原辅料BOM'!$G$20*'05_原辅料BOM'!$P$20,2)+ROUND('05_原辅料BOM'!$G$21/'02_假设与情景'!$B$8*(1+'02_假设与情景'!$B$9)*'05_原辅料BOM'!$P$21,2)+ROUND('05_原辅料BOM'!$G$22/'02_假设与情景'!$B$8*(1+'02_假设与情景'!$B$9)*'05_原辅料BOM'!$P$22,2)+ROUND('05_原辅料BOM'!$G$23/'02_假设与情景'!$B$8*(1+'02_假设与情景'!$B$9)*'05_原辅料BOM'!$P$23,2)+ROUND('05_原辅料BOM'!$G$24/'02_假设与情景'!$B$8*(1+'02_假设与情景'!$B$9)*'05_原辅料BOM'!$P$24,2)+ROUND('05_原辅料BOM'!$G$25/'02_假设与情景'!$B$8*(1+'02_假设与情景'!$B$9)*'05_原辅料BOM'!$P$25,2)+ROUND('05_原辅料BOM'!$G$26/'02_假设与情景'!$B$8*(1+'02_假设与情景'!$B$9)*'05_原辅料BOM'!$P$26,2)+ROUND('05_原辅料BOM'!$G$27/'02_假设与情景'!$B$8*(1+'02_假设与情景'!$B$9)*'05_原辅料BOM'!$P$27,2)+ROUND('05_原辅料BOM'!$G$28/'02_假设与情景'!$B$8*(1+'02_假设与情景'!$B$9)*'05_原辅料BOM'!$P$28,2)+ROUND('05_原辅料BOM'!$G$29/'02_假设与情景'!$B$8*(1+'02_假设与情景'!$B$9)*'05_原辅料BOM'!$P$29,2)+ROUND('05_原辅料BOM'!$G$30*'05_原辅料BOM'!$P$30,2)+ROUND('05_原辅料BOM'!$G$31*'05_原辅料BOM'!$P$31,2)+ROUND('05_原辅料BOM'!$G$32*'05_原辅料BOM'!$P$32,2)+ROUND('05_原辅料BOM'!$G$33*'05_原辅料BOM'!$P$33,2)+ROUND('05_原辅料BOM'!$G$34*'05_原辅料BOM'!$P$34,2)+ROUND('05_原辅料BOM'!$G$35*'05_原辅料BOM'!$P$35,2)+ROUND('05_原辅料BOM'!$G$36*'05_原辅料BOM'!$P$36,2)+ROUND('05_原辅料BOM'!$G$37*'05_原辅料BOM'!$P$37,2)+ROUND('05_原辅料BOM'!$G$38*'05_原辅料BOM'!$P$38,2)+ROUND('05_原辅料BOM'!$G$39*'05_原辅料BOM'!$P$39,2)+ROUND('05_原辅料BOM'!$G$40*'05_原辅料BOM'!$P$40,2)+ROUND('05_原辅料BOM'!$G$41/'02_假设与情景'!$B$8*(1+'02_假设与情景'!$B$9)*'05_原辅料BOM'!$P$41,2)+ROUND('05_原辅料BOM'!$G$42/'02_假设与情景'!$B$8*(1+'02_假设与情景'!$B$9)*'05_原辅料BOM'!$P$42,2)+ROUND('05_原辅料BOM'!$G$43/'02_假设与情景'!$B$8*(1+'02_假设与情景'!$B$9)*'05_原辅料BOM'!$P$43,2)+ROUND('05_原辅料BOM'!$G$44/'02_假设与情景'!$B$8*(1+'02_假设与情景'!$B$9)*'05_原辅料BOM'!$P$44,2)+ROUND('05_原辅料BOM'!$G$45/'02_假设与情景'!$B$8*(1+'02_假设与情景'!$B$9)*'05_原辅料BOM'!$P$45,2)+ROUND('05_原辅料BOM'!$G$46/'02_假设与情景'!$B$8*(1+'02_假设与情景'!$B$9)*'05_原辅料BOM'!$P$46,2)+ROUND('05_原辅料BOM'!$G$47/'02_假设与情景'!$B$8*(1+'02_假设与情景'!$B$9)*'05_原辅料BOM'!$P$47,2)+ROUND('05_原辅料BOM'!$G$48/'02_假设与情景'!$B$8*(1+'02_假设与情景'!$B$9)*'05_原辅料BOM'!$P$48,2)+ROUND('05_原辅料BOM'!$G$6/'02_假设与情景'!$B$8*(1+'02_假设与情景'!$B$9)*'05_原辅料BOM'!$P$6,2)+ROUND('05_原辅料BOM'!$G$7/'02_假设与情景'!$B$8*(1+'02_假设与情景'!$B$9)*'05_原辅料BOM'!$P$7,2)+ROUND('05_原辅料BOM'!$G$8/'02_假设与情景'!$B$8*(1+'02_假设与情景'!$B$9)*'05_原辅料BOM'!$P$8,2)+ROUND('05_原辅料BOM'!$G$9/'02_假设与情景'!$B$8*(1+'02_假设与情景'!$B$9)*'05_原辅料BOM'!$P$9,2)+ROUND('05_原辅料BOM'!$G$10/'02_假设与情景'!$B$8*(1+'02_假设与情景'!$B$9)*'05_原辅料BOM'!$P$10,2)+ROUND('05_原辅料BOM'!$G$11/'02_假设与情景'!$B$8*(1+'02_假设与情景'!$B$9)*'05_原辅料BOM'!$P$11,2)+ROUND('05_原辅料BOM'!$G$12*'05_原辅料BOM'!$P$12,2)+ROUND('05_原辅料BOM'!$G$13*'05_原辅料BOM'!$P$13,2)+ROUND('05_原辅料BOM'!$G$14/'02_假设与情景'!$B$8*(1+'02_假设与情景'!$B$9)*'05_原辅料BOM'!$P$14,2)+ROUND('05_原辅料BOM'!$G$15/'02_假设与情景'!$B$8*(1+'02_假设与情景'!$B$9)*'05_原辅料BOM'!$P$15,2)+ROUND('05_原辅料BOM'!$G$16/'02_假设与情景'!$B$8*(1+'02_假设与情景'!$B$9)*'05_原辅料BOM'!$P$16,2)+ROUND('05_原辅料BOM'!$G$17/'02_假设与情景'!$B$8*(1+'02_假设与情景'!$B$9)*'05_原辅料BOM'!$P$17,2)+ROUND('05_原辅料BOM'!$G$18/'02_假设与情景'!$B$8*(1+'02_假设与情景'!$B$9)*'05_原辅料BOM'!$P$18,2)+ROUND('05_原辅料BOM'!$G$19/'02_假设与情景'!$B$8*(1+'02_假设与情景'!$B$9)*'05_原辅料BOM'!$P$19,2)+ROUND('05_原辅料BOM'!$G$20*'05_原辅料BOM'!$P$20,2)+ROUND('05_原辅料BOM'!$G$21/'02_假设与情景'!$B$8*(1+'02_假设与情景'!$B$9)*'05_原辅料BOM'!$P$21,2)+ROUND('05_原辅料BOM'!$G$22/'02_假设与情景'!$B$8*(1+'02_假设与情景'!$B$9)*'05_原辅料BOM'!$P$22,2)+ROUND('05_原辅料BOM'!$G$23/'02_假设与情景'!$B$8*(1+'02_假设与情景'!$B$9)*'05_原辅料BOM'!$P$23,2)+ROUND('05_原辅料BOM'!$G$24/'02_假设与情景'!$B$8*(1+'02_假设与情景'!$B$9)*'05_原辅料BOM'!$P$24,2)+ROUND('05_原辅料BOM'!$G$25/'02_假设与情景'!$B$8*(1+'02_假设与情景'!$B$9)*'05_原辅料BOM'!$P$25,2)+ROUND('05_原辅料BOM'!$G$26/'02_假设与情景'!$B$8*(1+'02_假设与情景'!$B$9)*'05_原辅料BOM'!$P$26,2)+ROUND('05_原辅料BOM'!$G$27/'02_假设与情景'!$B$8*(1+'02_假设与情景'!$B$9)*'05_原辅料BOM'!$P$27,2)+ROUND('05_原辅料BOM'!$G$28/'02_假设与情景'!$B$8*(1+'02_假设与情景'!$B$9)*'05_原辅料BOM'!$P$28,2)+ROUND('05_原辅料BOM'!$G$29/'02_假设与情景'!$B$8*(1+'02_假设与情景'!$B$9)*'05_原辅料BOM'!$P$29,2)+ROUND('05_原辅料BOM'!$G$30*'05_原辅料BOM'!$P$30,2)+ROUND('05_原辅料BOM'!$G$31*'05_原辅料BOM'!$P$31,2)+ROUND('05_原辅料BOM'!$G$32*'05_原辅料BOM'!$P$32,2)+ROUND('05_原辅料BOM'!$G$33*'05_原辅料BOM'!$P$33,2)+ROUND('05_原辅料BOM'!$G$34*'05_原辅料BOM'!$P$34,2)+ROUND('05_原辅料BOM'!$G$35*'05_原辅料BOM'!$P$35,2)+ROUND('05_原辅料BOM'!$G$36*'05_原辅料BOM'!$P$36,2)+ROUND('05_原辅料BOM'!$G$37*'05_原辅料BOM'!$P$37,2)+ROUND('05_原辅料BOM'!$G$38*'05_原辅料BOM'!$P$38,2)+ROUND('05_原辅料BOM'!$G$39*'05_原辅料BOM'!$P$39,2)+ROUND('05_原辅料BOM'!$G$40*'05_原辅料BOM'!$P$40,2)+ROUND('05_原辅料BOM'!$G$41/'02_假设与情景'!$B$8*(1+'02_假设与情景'!$B$9)*'05_原辅料BOM'!$P$41,2)+ROUND('05_原辅料BOM'!$G$42/'02_假设与情景'!$B$8*(1+'02_假设与情景'!$B$9)*'05_原辅料BOM'!$P$42,2)+ROUND('05_原辅料BOM'!$G$43/'02_假设与情景'!$B$8*(1+'02_假设与情景'!$B$9)*'05_原辅料BOM'!$P$43,2)+ROUND('05_原辅料BOM'!$G$44/'02_假设与情景'!$B$8*(1+'02_假设与情景'!$B$9)*'05_原辅料BOM'!$P$44,2)+ROUND('05_原辅料BOM'!$G$45/'02_假设与情景'!$B$8*(1+'02_假设与情景'!$B$9)*'05_原辅料BOM'!$P$45,2)+ROUND('05_原辅料BOM'!$G$46/'02_假设与情景'!$B$8*(1+'02_假设与情景'!$B$9)*'05_原辅料BOM'!$P$46,2)+ROUND('05_原辅料BOM'!$G$47/'02_假设与情景'!$B$8*(1+'02_假设与情景'!$B$9)*'05_原辅料BOM'!$P$47,2)+ROUND('05_原辅料BOM'!$G$48/'02_假设与情景'!$B$8*(1+'02_假设与情景'!$B$9)*'05_原辅料BOM'!$P$48,2)/12*'02_假设与情景'!$B$12</x:f>
        <x:v>26033373.041666657</x:v>
      </x:c>
      <x:c r="L57" t="str">
        <x:v>2024</x:v>
      </x:c>
      <x:c r="M57" s="66" t="n">
        <x:f>SUMPRODUCT('03_CAPEX建设设备'!$J$6:$J$57,'03_CAPEX建设设备'!$R$6:$R$57)+SUMPRODUCT('04_OPEX年度运营'!$J$6:$J$36,'04_OPEX年度运营'!$R$6:$R$36)+SUMPRODUCT('05_原辅料BOM'!$J$6:$J$48,'05_原辅料BOM'!$R$6:$R$48)</x:f>
        <x:v>35725981.082839794</x:v>
      </x:c>
      <x:c r="O57" t="str">
        <x:v>Bio-Rad CFX Duet</x:v>
      </x:c>
      <x:c r="P57" s="66" t="n">
        <x:v>300000</x:v>
      </x:c>
      <x:c r="Q57" t="n">
        <x:v>9</x:v>
      </x:c>
    </x:row>
    <x:row r="58">
      <x:c r="A58" t="str">
        <x:v>厂房与洁净工程</x:v>
      </x:c>
      <x:c r="B58" s="66" t="n">
        <x:f>SUMIF('03_CAPEX建设设备'!$B$6:$B$57,A58,'03_CAPEX建设设备'!$U$6:$U$57)</x:f>
        <x:v>2270000</x:v>
      </x:c>
      <x:c r="D58" t="str">
        <x:v>人员</x:v>
      </x:c>
      <x:c r="E58" s="66" t="n">
        <x:f>SUMIF('04_OPEX年度运营'!$B$6:$B$36,D58,'04_OPEX年度运营'!$U$6:$U$36)</x:f>
        <x:v>7682000</x:v>
      </x:c>
      <x:c r="G58" t="str">
        <x:v>S2</x:v>
      </x:c>
      <x:c r="H58" s="66" t="n">
        <x:f>SUMPRODUCT('03_CAPEX建设设备'!$H$6:$H$57,'03_CAPEX建设设备'!$P$6:$P$57)</x:f>
        <x:v>15503000</x:v>
      </x:c>
      <x:c r="I58" s="66" t="n">
        <x:f>SUMPRODUCT('04_OPEX年度运营'!$H$6:$H$36,'04_OPEX年度运营'!$P$6:$P$36)+ROUND('05_原辅料BOM'!$H$6/'02_假设与情景'!$B$8*(1+'02_假设与情景'!$B$9)*'05_原辅料BOM'!$P$6,2)+ROUND('05_原辅料BOM'!$H$7/'02_假设与情景'!$B$8*(1+'02_假设与情景'!$B$9)*'05_原辅料BOM'!$P$7,2)+ROUND('05_原辅料BOM'!$H$8/'02_假设与情景'!$B$8*(1+'02_假设与情景'!$B$9)*'05_原辅料BOM'!$P$8,2)+ROUND('05_原辅料BOM'!$H$9/'02_假设与情景'!$B$8*(1+'02_假设与情景'!$B$9)*'05_原辅料BOM'!$P$9,2)+ROUND('05_原辅料BOM'!$H$10/'02_假设与情景'!$B$8*(1+'02_假设与情景'!$B$9)*'05_原辅料BOM'!$P$10,2)+ROUND('05_原辅料BOM'!$H$11/'02_假设与情景'!$B$8*(1+'02_假设与情景'!$B$9)*'05_原辅料BOM'!$P$11,2)+ROUND('05_原辅料BOM'!$H$12*'05_原辅料BOM'!$P$12,2)+ROUND('05_原辅料BOM'!$H$13*'05_原辅料BOM'!$P$13,2)+ROUND('05_原辅料BOM'!$H$14/'02_假设与情景'!$B$8*(1+'02_假设与情景'!$B$9)*'05_原辅料BOM'!$P$14,2)+ROUND('05_原辅料BOM'!$H$15/'02_假设与情景'!$B$8*(1+'02_假设与情景'!$B$9)*'05_原辅料BOM'!$P$15,2)+ROUND('05_原辅料BOM'!$H$16/'02_假设与情景'!$B$8*(1+'02_假设与情景'!$B$9)*'05_原辅料BOM'!$P$16,2)+ROUND('05_原辅料BOM'!$H$17/'02_假设与情景'!$B$8*(1+'02_假设与情景'!$B$9)*'05_原辅料BOM'!$P$17,2)+ROUND('05_原辅料BOM'!$H$18/'02_假设与情景'!$B$8*(1+'02_假设与情景'!$B$9)*'05_原辅料BOM'!$P$18,2)+ROUND('05_原辅料BOM'!$H$19/'02_假设与情景'!$B$8*(1+'02_假设与情景'!$B$9)*'05_原辅料BOM'!$P$19,2)+ROUND('05_原辅料BOM'!$H$20*'05_原辅料BOM'!$P$20,2)+ROUND('05_原辅料BOM'!$H$21/'02_假设与情景'!$B$8*(1+'02_假设与情景'!$B$9)*'05_原辅料BOM'!$P$21,2)+ROUND('05_原辅料BOM'!$H$22/'02_假设与情景'!$B$8*(1+'02_假设与情景'!$B$9)*'05_原辅料BOM'!$P$22,2)+ROUND('05_原辅料BOM'!$H$23/'02_假设与情景'!$B$8*(1+'02_假设与情景'!$B$9)*'05_原辅料BOM'!$P$23,2)+ROUND('05_原辅料BOM'!$H$24/'02_假设与情景'!$B$8*(1+'02_假设与情景'!$B$9)*'05_原辅料BOM'!$P$24,2)+ROUND('05_原辅料BOM'!$H$25/'02_假设与情景'!$B$8*(1+'02_假设与情景'!$B$9)*'05_原辅料BOM'!$P$25,2)+ROUND('05_原辅料BOM'!$H$26/'02_假设与情景'!$B$8*(1+'02_假设与情景'!$B$9)*'05_原辅料BOM'!$P$26,2)+ROUND('05_原辅料BOM'!$H$27/'02_假设与情景'!$B$8*(1+'02_假设与情景'!$B$9)*'05_原辅料BOM'!$P$27,2)+ROUND('05_原辅料BOM'!$H$28/'02_假设与情景'!$B$8*(1+'02_假设与情景'!$B$9)*'05_原辅料BOM'!$P$28,2)+ROUND('05_原辅料BOM'!$H$29/'02_假设与情景'!$B$8*(1+'02_假设与情景'!$B$9)*'05_原辅料BOM'!$P$29,2)+ROUND('05_原辅料BOM'!$H$30*'05_原辅料BOM'!$P$30,2)+ROUND('05_原辅料BOM'!$H$31*'05_原辅料BOM'!$P$31,2)+ROUND('05_原辅料BOM'!$H$32*'05_原辅料BOM'!$P$32,2)+ROUND('05_原辅料BOM'!$H$33*'05_原辅料BOM'!$P$33,2)+ROUND('05_原辅料BOM'!$H$34*'05_原辅料BOM'!$P$34,2)+ROUND('05_原辅料BOM'!$H$35*'05_原辅料BOM'!$P$35,2)+ROUND('05_原辅料BOM'!$H$36*'05_原辅料BOM'!$P$36,2)+ROUND('05_原辅料BOM'!$H$37*'05_原辅料BOM'!$P$37,2)+ROUND('05_原辅料BOM'!$H$38*'05_原辅料BOM'!$P$38,2)+ROUND('05_原辅料BOM'!$H$39*'05_原辅料BOM'!$P$39,2)+ROUND('05_原辅料BOM'!$H$40*'05_原辅料BOM'!$P$40,2)+ROUND('05_原辅料BOM'!$H$41/'02_假设与情景'!$B$8*(1+'02_假设与情景'!$B$9)*'05_原辅料BOM'!$P$41,2)+ROUND('05_原辅料BOM'!$H$42/'02_假设与情景'!$B$8*(1+'02_假设与情景'!$B$9)*'05_原辅料BOM'!$P$42,2)+ROUND('05_原辅料BOM'!$H$43/'02_假设与情景'!$B$8*(1+'02_假设与情景'!$B$9)*'05_原辅料BOM'!$P$43,2)+ROUND('05_原辅料BOM'!$H$44/'02_假设与情景'!$B$8*(1+'02_假设与情景'!$B$9)*'05_原辅料BOM'!$P$44,2)+ROUND('05_原辅料BOM'!$H$45/'02_假设与情景'!$B$8*(1+'02_假设与情景'!$B$9)*'05_原辅料BOM'!$P$45,2)+ROUND('05_原辅料BOM'!$H$46/'02_假设与情景'!$B$8*(1+'02_假设与情景'!$B$9)*'05_原辅料BOM'!$P$46,2)+ROUND('05_原辅料BOM'!$H$47/'02_假设与情景'!$B$8*(1+'02_假设与情景'!$B$9)*'05_原辅料BOM'!$P$47,2)+ROUND('05_原辅料BOM'!$H$48/'02_假设与情景'!$B$8*(1+'02_假设与情景'!$B$9)*'05_原辅料BOM'!$P$48,2)</x:f>
        <x:v>21286864.199999988</x:v>
      </x:c>
      <x:c r="J58" s="66" t="n">
        <x:f>SUMPRODUCT('03_CAPEX建设设备'!$H$6:$H$57,'03_CAPEX建设设备'!$P$6:$P$57)*(1+'02_假设与情景'!$B$10)+SUMPRODUCT('04_OPEX年度运营'!$H$6:$H$36,'04_OPEX年度运营'!$P$6:$P$36)*(1+'02_假设与情景'!$B$11)+ROUND('05_原辅料BOM'!$H$6/'02_假设与情景'!$B$8*(1+'02_假设与情景'!$B$9)*'05_原辅料BOM'!$P$6,2)+ROUND('05_原辅料BOM'!$H$7/'02_假设与情景'!$B$8*(1+'02_假设与情景'!$B$9)*'05_原辅料BOM'!$P$7,2)+ROUND('05_原辅料BOM'!$H$8/'02_假设与情景'!$B$8*(1+'02_假设与情景'!$B$9)*'05_原辅料BOM'!$P$8,2)+ROUND('05_原辅料BOM'!$H$9/'02_假设与情景'!$B$8*(1+'02_假设与情景'!$B$9)*'05_原辅料BOM'!$P$9,2)+ROUND('05_原辅料BOM'!$H$10/'02_假设与情景'!$B$8*(1+'02_假设与情景'!$B$9)*'05_原辅料BOM'!$P$10,2)+ROUND('05_原辅料BOM'!$H$11/'02_假设与情景'!$B$8*(1+'02_假设与情景'!$B$9)*'05_原辅料BOM'!$P$11,2)+ROUND('05_原辅料BOM'!$H$12*'05_原辅料BOM'!$P$12,2)+ROUND('05_原辅料BOM'!$H$13*'05_原辅料BOM'!$P$13,2)+ROUND('05_原辅料BOM'!$H$14/'02_假设与情景'!$B$8*(1+'02_假设与情景'!$B$9)*'05_原辅料BOM'!$P$14,2)+ROUND('05_原辅料BOM'!$H$15/'02_假设与情景'!$B$8*(1+'02_假设与情景'!$B$9)*'05_原辅料BOM'!$P$15,2)+ROUND('05_原辅料BOM'!$H$16/'02_假设与情景'!$B$8*(1+'02_假设与情景'!$B$9)*'05_原辅料BOM'!$P$16,2)+ROUND('05_原辅料BOM'!$H$17/'02_假设与情景'!$B$8*(1+'02_假设与情景'!$B$9)*'05_原辅料BOM'!$P$17,2)+ROUND('05_原辅料BOM'!$H$18/'02_假设与情景'!$B$8*(1+'02_假设与情景'!$B$9)*'05_原辅料BOM'!$P$18,2)+ROUND('05_原辅料BOM'!$H$19/'02_假设与情景'!$B$8*(1+'02_假设与情景'!$B$9)*'05_原辅料BOM'!$P$19,2)+ROUND('05_原辅料BOM'!$H$20*'05_原辅料BOM'!$P$20,2)+ROUND('05_原辅料BOM'!$H$21/'02_假设与情景'!$B$8*(1+'02_假设与情景'!$B$9)*'05_原辅料BOM'!$P$21,2)+ROUND('05_原辅料BOM'!$H$22/'02_假设与情景'!$B$8*(1+'02_假设与情景'!$B$9)*'05_原辅料BOM'!$P$22,2)+ROUND('05_原辅料BOM'!$H$23/'02_假设与情景'!$B$8*(1+'02_假设与情景'!$B$9)*'05_原辅料BOM'!$P$23,2)+ROUND('05_原辅料BOM'!$H$24/'02_假设与情景'!$B$8*(1+'02_假设与情景'!$B$9)*'05_原辅料BOM'!$P$24,2)+ROUND('05_原辅料BOM'!$H$25/'02_假设与情景'!$B$8*(1+'02_假设与情景'!$B$9)*'05_原辅料BOM'!$P$25,2)+ROUND('05_原辅料BOM'!$H$26/'02_假设与情景'!$B$8*(1+'02_假设与情景'!$B$9)*'05_原辅料BOM'!$P$26,2)+ROUND('05_原辅料BOM'!$H$27/'02_假设与情景'!$B$8*(1+'02_假设与情景'!$B$9)*'05_原辅料BOM'!$P$27,2)+ROUND('05_原辅料BOM'!$H$28/'02_假设与情景'!$B$8*(1+'02_假设与情景'!$B$9)*'05_原辅料BOM'!$P$28,2)+ROUND('05_原辅料BOM'!$H$29/'02_假设与情景'!$B$8*(1+'02_假设与情景'!$B$9)*'05_原辅料BOM'!$P$29,2)+ROUND('05_原辅料BOM'!$H$30*'05_原辅料BOM'!$P$30,2)+ROUND('05_原辅料BOM'!$H$31*'05_原辅料BOM'!$P$31,2)+ROUND('05_原辅料BOM'!$H$32*'05_原辅料BOM'!$P$32,2)+ROUND('05_原辅料BOM'!$H$33*'05_原辅料BOM'!$P$33,2)+ROUND('05_原辅料BOM'!$H$34*'05_原辅料BOM'!$P$34,2)+ROUND('05_原辅料BOM'!$H$35*'05_原辅料BOM'!$P$35,2)+ROUND('05_原辅料BOM'!$H$36*'05_原辅料BOM'!$P$36,2)+ROUND('05_原辅料BOM'!$H$37*'05_原辅料BOM'!$P$37,2)+ROUND('05_原辅料BOM'!$H$38*'05_原辅料BOM'!$P$38,2)+ROUND('05_原辅料BOM'!$H$39*'05_原辅料BOM'!$P$39,2)+ROUND('05_原辅料BOM'!$H$40*'05_原辅料BOM'!$P$40,2)+ROUND('05_原辅料BOM'!$H$41/'02_假设与情景'!$B$8*(1+'02_假设与情景'!$B$9)*'05_原辅料BOM'!$P$41,2)+ROUND('05_原辅料BOM'!$H$42/'02_假设与情景'!$B$8*(1+'02_假设与情景'!$B$9)*'05_原辅料BOM'!$P$42,2)+ROUND('05_原辅料BOM'!$H$43/'02_假设与情景'!$B$8*(1+'02_假设与情景'!$B$9)*'05_原辅料BOM'!$P$43,2)+ROUND('05_原辅料BOM'!$H$44/'02_假设与情景'!$B$8*(1+'02_假设与情景'!$B$9)*'05_原辅料BOM'!$P$44,2)+ROUND('05_原辅料BOM'!$H$45/'02_假设与情景'!$B$8*(1+'02_假设与情景'!$B$9)*'05_原辅料BOM'!$P$45,2)+ROUND('05_原辅料BOM'!$H$46/'02_假设与情景'!$B$8*(1+'02_假设与情景'!$B$9)*'05_原辅料BOM'!$P$46,2)+ROUND('05_原辅料BOM'!$H$47/'02_假设与情景'!$B$8*(1+'02_假设与情景'!$B$9)*'05_原辅料BOM'!$P$47,2)+ROUND('05_原辅料BOM'!$H$48/'02_假设与情景'!$B$8*(1+'02_假设与情景'!$B$9)*'05_原辅料BOM'!$P$48,2)+ROUND('05_原辅料BOM'!$H$6/'02_假设与情景'!$B$8*(1+'02_假设与情景'!$B$9)*'05_原辅料BOM'!$P$6,2)+ROUND('05_原辅料BOM'!$H$7/'02_假设与情景'!$B$8*(1+'02_假设与情景'!$B$9)*'05_原辅料BOM'!$P$7,2)+ROUND('05_原辅料BOM'!$H$8/'02_假设与情景'!$B$8*(1+'02_假设与情景'!$B$9)*'05_原辅料BOM'!$P$8,2)+ROUND('05_原辅料BOM'!$H$9/'02_假设与情景'!$B$8*(1+'02_假设与情景'!$B$9)*'05_原辅料BOM'!$P$9,2)+ROUND('05_原辅料BOM'!$H$10/'02_假设与情景'!$B$8*(1+'02_假设与情景'!$B$9)*'05_原辅料BOM'!$P$10,2)+ROUND('05_原辅料BOM'!$H$11/'02_假设与情景'!$B$8*(1+'02_假设与情景'!$B$9)*'05_原辅料BOM'!$P$11,2)+ROUND('05_原辅料BOM'!$H$12*'05_原辅料BOM'!$P$12,2)+ROUND('05_原辅料BOM'!$H$13*'05_原辅料BOM'!$P$13,2)+ROUND('05_原辅料BOM'!$H$14/'02_假设与情景'!$B$8*(1+'02_假设与情景'!$B$9)*'05_原辅料BOM'!$P$14,2)+ROUND('05_原辅料BOM'!$H$15/'02_假设与情景'!$B$8*(1+'02_假设与情景'!$B$9)*'05_原辅料BOM'!$P$15,2)+ROUND('05_原辅料BOM'!$H$16/'02_假设与情景'!$B$8*(1+'02_假设与情景'!$B$9)*'05_原辅料BOM'!$P$16,2)+ROUND('05_原辅料BOM'!$H$17/'02_假设与情景'!$B$8*(1+'02_假设与情景'!$B$9)*'05_原辅料BOM'!$P$17,2)+ROUND('05_原辅料BOM'!$H$18/'02_假设与情景'!$B$8*(1+'02_假设与情景'!$B$9)*'05_原辅料BOM'!$P$18,2)+ROUND('05_原辅料BOM'!$H$19/'02_假设与情景'!$B$8*(1+'02_假设与情景'!$B$9)*'05_原辅料BOM'!$P$19,2)+ROUND('05_原辅料BOM'!$H$20*'05_原辅料BOM'!$P$20,2)+ROUND('05_原辅料BOM'!$H$21/'02_假设与情景'!$B$8*(1+'02_假设与情景'!$B$9)*'05_原辅料BOM'!$P$21,2)+ROUND('05_原辅料BOM'!$H$22/'02_假设与情景'!$B$8*(1+'02_假设与情景'!$B$9)*'05_原辅料BOM'!$P$22,2)+ROUND('05_原辅料BOM'!$H$23/'02_假设与情景'!$B$8*(1+'02_假设与情景'!$B$9)*'05_原辅料BOM'!$P$23,2)+ROUND('05_原辅料BOM'!$H$24/'02_假设与情景'!$B$8*(1+'02_假设与情景'!$B$9)*'05_原辅料BOM'!$P$24,2)+ROUND('05_原辅料BOM'!$H$25/'02_假设与情景'!$B$8*(1+'02_假设与情景'!$B$9)*'05_原辅料BOM'!$P$25,2)+ROUND('05_原辅料BOM'!$H$26/'02_假设与情景'!$B$8*(1+'02_假设与情景'!$B$9)*'05_原辅料BOM'!$P$26,2)+ROUND('05_原辅料BOM'!$H$27/'02_假设与情景'!$B$8*(1+'02_假设与情景'!$B$9)*'05_原辅料BOM'!$P$27,2)+ROUND('05_原辅料BOM'!$H$28/'02_假设与情景'!$B$8*(1+'02_假设与情景'!$B$9)*'05_原辅料BOM'!$P$28,2)+ROUND('05_原辅料BOM'!$H$29/'02_假设与情景'!$B$8*(1+'02_假设与情景'!$B$9)*'05_原辅料BOM'!$P$29,2)+ROUND('05_原辅料BOM'!$H$30*'05_原辅料BOM'!$P$30,2)+ROUND('05_原辅料BOM'!$H$31*'05_原辅料BOM'!$P$31,2)+ROUND('05_原辅料BOM'!$H$32*'05_原辅料BOM'!$P$32,2)+ROUND('05_原辅料BOM'!$H$33*'05_原辅料BOM'!$P$33,2)+ROUND('05_原辅料BOM'!$H$34*'05_原辅料BOM'!$P$34,2)+ROUND('05_原辅料BOM'!$H$35*'05_原辅料BOM'!$P$35,2)+ROUND('05_原辅料BOM'!$H$36*'05_原辅料BOM'!$P$36,2)+ROUND('05_原辅料BOM'!$H$37*'05_原辅料BOM'!$P$37,2)+ROUND('05_原辅料BOM'!$H$38*'05_原辅料BOM'!$P$38,2)+ROUND('05_原辅料BOM'!$H$39*'05_原辅料BOM'!$P$39,2)+ROUND('05_原辅料BOM'!$H$40*'05_原辅料BOM'!$P$40,2)+ROUND('05_原辅料BOM'!$H$41/'02_假设与情景'!$B$8*(1+'02_假设与情景'!$B$9)*'05_原辅料BOM'!$P$41,2)+ROUND('05_原辅料BOM'!$H$42/'02_假设与情景'!$B$8*(1+'02_假设与情景'!$B$9)*'05_原辅料BOM'!$P$42,2)+ROUND('05_原辅料BOM'!$H$43/'02_假设与情景'!$B$8*(1+'02_假设与情景'!$B$9)*'05_原辅料BOM'!$P$43,2)+ROUND('05_原辅料BOM'!$H$44/'02_假设与情景'!$B$8*(1+'02_假设与情景'!$B$9)*'05_原辅料BOM'!$P$44,2)+ROUND('05_原辅料BOM'!$H$45/'02_假设与情景'!$B$8*(1+'02_假设与情景'!$B$9)*'05_原辅料BOM'!$P$45,2)+ROUND('05_原辅料BOM'!$H$46/'02_假设与情景'!$B$8*(1+'02_假设与情景'!$B$9)*'05_原辅料BOM'!$P$46,2)+ROUND('05_原辅料BOM'!$H$47/'02_假设与情景'!$B$8*(1+'02_假设与情景'!$B$9)*'05_原辅料BOM'!$P$47,2)+ROUND('05_原辅料BOM'!$H$48/'02_假设与情景'!$B$8*(1+'02_假设与情景'!$B$9)*'05_原辅料BOM'!$P$48,2)/12*'02_假设与情景'!$B$12</x:f>
        <x:v>47112553.108333305</x:v>
      </x:c>
      <x:c r="L58" t="str">
        <x:v>2025</x:v>
      </x:c>
      <x:c r="M58" s="66" t="n">
        <x:f>SUMPRODUCT('03_CAPEX建设设备'!$J$6:$J$57,'03_CAPEX建设设备'!$Q$6:$Q$57)+SUMPRODUCT('04_OPEX年度运营'!$J$6:$J$36,'04_OPEX年度运营'!$Q$6:$Q$36)+SUMPRODUCT('05_原辅料BOM'!$J$6:$J$48,'05_原辅料BOM'!$Q$6:$Q$48)</x:f>
        <x:v>35415042.22419402</x:v>
      </x:c>
      <x:c r="O58" t="str">
        <x:v>ABI QuantStudio 3</x:v>
      </x:c>
      <x:c r="P58" s="66" t="n">
        <x:v>375000</x:v>
      </x:c>
      <x:c r="Q58" t="n">
        <x:v>9</x:v>
      </x:c>
    </x:row>
    <x:row r="59">
      <x:c r="A59" t="str">
        <x:v>公用工程</x:v>
      </x:c>
      <x:c r="B59" s="66" t="n">
        <x:f>SUMIF('03_CAPEX建设设备'!$B$6:$B$57,A59,'03_CAPEX建设设备'!$U$6:$U$57)</x:f>
        <x:v>2838000</x:v>
      </x:c>
      <x:c r="D59" t="str">
        <x:v>公用事业</x:v>
      </x:c>
      <x:c r="E59" s="66" t="n">
        <x:f>SUMIF('04_OPEX年度运营'!$B$6:$B$36,D59,'04_OPEX年度运营'!$U$6:$U$36)</x:f>
        <x:v>478300</x:v>
      </x:c>
      <x:c r="G59" t="str">
        <x:v>S3</x:v>
      </x:c>
      <x:c r="H59" s="66" t="n">
        <x:f>SUMPRODUCT('03_CAPEX建设设备'!$I$6:$I$57,'03_CAPEX建设设备'!$P$6:$P$57)</x:f>
        <x:v>20035000</x:v>
      </x:c>
      <x:c r="I59" s="66" t="n">
        <x:f>SUMPRODUCT('04_OPEX年度运营'!$I$6:$I$36,'04_OPEX年度运营'!$P$6:$P$36)+ROUND('05_原辅料BOM'!$I$6/'02_假设与情景'!$B$8*(1+'02_假设与情景'!$B$9)*'05_原辅料BOM'!$P$6,2)+ROUND('05_原辅料BOM'!$I$7/'02_假设与情景'!$B$8*(1+'02_假设与情景'!$B$9)*'05_原辅料BOM'!$P$7,2)+ROUND('05_原辅料BOM'!$I$8/'02_假设与情景'!$B$8*(1+'02_假设与情景'!$B$9)*'05_原辅料BOM'!$P$8,2)+ROUND('05_原辅料BOM'!$I$9/'02_假设与情景'!$B$8*(1+'02_假设与情景'!$B$9)*'05_原辅料BOM'!$P$9,2)+ROUND('05_原辅料BOM'!$I$10/'02_假设与情景'!$B$8*(1+'02_假设与情景'!$B$9)*'05_原辅料BOM'!$P$10,2)+ROUND('05_原辅料BOM'!$I$11/'02_假设与情景'!$B$8*(1+'02_假设与情景'!$B$9)*'05_原辅料BOM'!$P$11,2)+ROUND('05_原辅料BOM'!$I$12*'05_原辅料BOM'!$P$12,2)+ROUND('05_原辅料BOM'!$I$13*'05_原辅料BOM'!$P$13,2)+ROUND('05_原辅料BOM'!$I$14/'02_假设与情景'!$B$8*(1+'02_假设与情景'!$B$9)*'05_原辅料BOM'!$P$14,2)+ROUND('05_原辅料BOM'!$I$15/'02_假设与情景'!$B$8*(1+'02_假设与情景'!$B$9)*'05_原辅料BOM'!$P$15,2)+ROUND('05_原辅料BOM'!$I$16/'02_假设与情景'!$B$8*(1+'02_假设与情景'!$B$9)*'05_原辅料BOM'!$P$16,2)+ROUND('05_原辅料BOM'!$I$17/'02_假设与情景'!$B$8*(1+'02_假设与情景'!$B$9)*'05_原辅料BOM'!$P$17,2)+ROUND('05_原辅料BOM'!$I$18/'02_假设与情景'!$B$8*(1+'02_假设与情景'!$B$9)*'05_原辅料BOM'!$P$18,2)+ROUND('05_原辅料BOM'!$I$19/'02_假设与情景'!$B$8*(1+'02_假设与情景'!$B$9)*'05_原辅料BOM'!$P$19,2)+ROUND('05_原辅料BOM'!$I$20*'05_原辅料BOM'!$P$20,2)+ROUND('05_原辅料BOM'!$I$21/'02_假设与情景'!$B$8*(1+'02_假设与情景'!$B$9)*'05_原辅料BOM'!$P$21,2)+ROUND('05_原辅料BOM'!$I$22/'02_假设与情景'!$B$8*(1+'02_假设与情景'!$B$9)*'05_原辅料BOM'!$P$22,2)+ROUND('05_原辅料BOM'!$I$23/'02_假设与情景'!$B$8*(1+'02_假设与情景'!$B$9)*'05_原辅料BOM'!$P$23,2)+ROUND('05_原辅料BOM'!$I$24/'02_假设与情景'!$B$8*(1+'02_假设与情景'!$B$9)*'05_原辅料BOM'!$P$24,2)+ROUND('05_原辅料BOM'!$I$25/'02_假设与情景'!$B$8*(1+'02_假设与情景'!$B$9)*'05_原辅料BOM'!$P$25,2)+ROUND('05_原辅料BOM'!$I$26/'02_假设与情景'!$B$8*(1+'02_假设与情景'!$B$9)*'05_原辅料BOM'!$P$26,2)+ROUND('05_原辅料BOM'!$I$27/'02_假设与情景'!$B$8*(1+'02_假设与情景'!$B$9)*'05_原辅料BOM'!$P$27,2)+ROUND('05_原辅料BOM'!$I$28/'02_假设与情景'!$B$8*(1+'02_假设与情景'!$B$9)*'05_原辅料BOM'!$P$28,2)+ROUND('05_原辅料BOM'!$I$29/'02_假设与情景'!$B$8*(1+'02_假设与情景'!$B$9)*'05_原辅料BOM'!$P$29,2)+ROUND('05_原辅料BOM'!$I$30*'05_原辅料BOM'!$P$30,2)+ROUND('05_原辅料BOM'!$I$31*'05_原辅料BOM'!$P$31,2)+ROUND('05_原辅料BOM'!$I$32*'05_原辅料BOM'!$P$32,2)+ROUND('05_原辅料BOM'!$I$33*'05_原辅料BOM'!$P$33,2)+ROUND('05_原辅料BOM'!$I$34*'05_原辅料BOM'!$P$34,2)+ROUND('05_原辅料BOM'!$I$35*'05_原辅料BOM'!$P$35,2)+ROUND('05_原辅料BOM'!$I$36*'05_原辅料BOM'!$P$36,2)+ROUND('05_原辅料BOM'!$I$37*'05_原辅料BOM'!$P$37,2)+ROUND('05_原辅料BOM'!$I$38*'05_原辅料BOM'!$P$38,2)+ROUND('05_原辅料BOM'!$I$39*'05_原辅料BOM'!$P$39,2)+ROUND('05_原辅料BOM'!$I$40*'05_原辅料BOM'!$P$40,2)+ROUND('05_原辅料BOM'!$I$41/'02_假设与情景'!$B$8*(1+'02_假设与情景'!$B$9)*'05_原辅料BOM'!$P$41,2)+ROUND('05_原辅料BOM'!$I$42/'02_假设与情景'!$B$8*(1+'02_假设与情景'!$B$9)*'05_原辅料BOM'!$P$42,2)+ROUND('05_原辅料BOM'!$I$43/'02_假设与情景'!$B$8*(1+'02_假设与情景'!$B$9)*'05_原辅料BOM'!$P$43,2)+ROUND('05_原辅料BOM'!$I$44/'02_假设与情景'!$B$8*(1+'02_假设与情景'!$B$9)*'05_原辅料BOM'!$P$44,2)+ROUND('05_原辅料BOM'!$I$45/'02_假设与情景'!$B$8*(1+'02_假设与情景'!$B$9)*'05_原辅料BOM'!$P$45,2)+ROUND('05_原辅料BOM'!$I$46/'02_假设与情景'!$B$8*(1+'02_假设与情景'!$B$9)*'05_原辅料BOM'!$P$46,2)+ROUND('05_原辅料BOM'!$I$47/'02_假设与情景'!$B$8*(1+'02_假设与情景'!$B$9)*'05_原辅料BOM'!$P$47,2)+ROUND('05_原辅料BOM'!$I$48/'02_假设与情景'!$B$8*(1+'02_假设与情景'!$B$9)*'05_原辅料BOM'!$P$48,2)</x:f>
        <x:v>51052536.779999994</x:v>
      </x:c>
      <x:c r="J59" s="66" t="n">
        <x:f>SUMPRODUCT('03_CAPEX建设设备'!$I$6:$I$57,'03_CAPEX建设设备'!$P$6:$P$57)*(1+'02_假设与情景'!$B$10)+SUMPRODUCT('04_OPEX年度运营'!$I$6:$I$36,'04_OPEX年度运营'!$P$6:$P$36)*(1+'02_假设与情景'!$B$11)+ROUND('05_原辅料BOM'!$I$6/'02_假设与情景'!$B$8*(1+'02_假设与情景'!$B$9)*'05_原辅料BOM'!$P$6,2)+ROUND('05_原辅料BOM'!$I$7/'02_假设与情景'!$B$8*(1+'02_假设与情景'!$B$9)*'05_原辅料BOM'!$P$7,2)+ROUND('05_原辅料BOM'!$I$8/'02_假设与情景'!$B$8*(1+'02_假设与情景'!$B$9)*'05_原辅料BOM'!$P$8,2)+ROUND('05_原辅料BOM'!$I$9/'02_假设与情景'!$B$8*(1+'02_假设与情景'!$B$9)*'05_原辅料BOM'!$P$9,2)+ROUND('05_原辅料BOM'!$I$10/'02_假设与情景'!$B$8*(1+'02_假设与情景'!$B$9)*'05_原辅料BOM'!$P$10,2)+ROUND('05_原辅料BOM'!$I$11/'02_假设与情景'!$B$8*(1+'02_假设与情景'!$B$9)*'05_原辅料BOM'!$P$11,2)+ROUND('05_原辅料BOM'!$I$12*'05_原辅料BOM'!$P$12,2)+ROUND('05_原辅料BOM'!$I$13*'05_原辅料BOM'!$P$13,2)+ROUND('05_原辅料BOM'!$I$14/'02_假设与情景'!$B$8*(1+'02_假设与情景'!$B$9)*'05_原辅料BOM'!$P$14,2)+ROUND('05_原辅料BOM'!$I$15/'02_假设与情景'!$B$8*(1+'02_假设与情景'!$B$9)*'05_原辅料BOM'!$P$15,2)+ROUND('05_原辅料BOM'!$I$16/'02_假设与情景'!$B$8*(1+'02_假设与情景'!$B$9)*'05_原辅料BOM'!$P$16,2)+ROUND('05_原辅料BOM'!$I$17/'02_假设与情景'!$B$8*(1+'02_假设与情景'!$B$9)*'05_原辅料BOM'!$P$17,2)+ROUND('05_原辅料BOM'!$I$18/'02_假设与情景'!$B$8*(1+'02_假设与情景'!$B$9)*'05_原辅料BOM'!$P$18,2)+ROUND('05_原辅料BOM'!$I$19/'02_假设与情景'!$B$8*(1+'02_假设与情景'!$B$9)*'05_原辅料BOM'!$P$19,2)+ROUND('05_原辅料BOM'!$I$20*'05_原辅料BOM'!$P$20,2)+ROUND('05_原辅料BOM'!$I$21/'02_假设与情景'!$B$8*(1+'02_假设与情景'!$B$9)*'05_原辅料BOM'!$P$21,2)+ROUND('05_原辅料BOM'!$I$22/'02_假设与情景'!$B$8*(1+'02_假设与情景'!$B$9)*'05_原辅料BOM'!$P$22,2)+ROUND('05_原辅料BOM'!$I$23/'02_假设与情景'!$B$8*(1+'02_假设与情景'!$B$9)*'05_原辅料BOM'!$P$23,2)+ROUND('05_原辅料BOM'!$I$24/'02_假设与情景'!$B$8*(1+'02_假设与情景'!$B$9)*'05_原辅料BOM'!$P$24,2)+ROUND('05_原辅料BOM'!$I$25/'02_假设与情景'!$B$8*(1+'02_假设与情景'!$B$9)*'05_原辅料BOM'!$P$25,2)+ROUND('05_原辅料BOM'!$I$26/'02_假设与情景'!$B$8*(1+'02_假设与情景'!$B$9)*'05_原辅料BOM'!$P$26,2)+ROUND('05_原辅料BOM'!$I$27/'02_假设与情景'!$B$8*(1+'02_假设与情景'!$B$9)*'05_原辅料BOM'!$P$27,2)+ROUND('05_原辅料BOM'!$I$28/'02_假设与情景'!$B$8*(1+'02_假设与情景'!$B$9)*'05_原辅料BOM'!$P$28,2)+ROUND('05_原辅料BOM'!$I$29/'02_假设与情景'!$B$8*(1+'02_假设与情景'!$B$9)*'05_原辅料BOM'!$P$29,2)+ROUND('05_原辅料BOM'!$I$30*'05_原辅料BOM'!$P$30,2)+ROUND('05_原辅料BOM'!$I$31*'05_原辅料BOM'!$P$31,2)+ROUND('05_原辅料BOM'!$I$32*'05_原辅料BOM'!$P$32,2)+ROUND('05_原辅料BOM'!$I$33*'05_原辅料BOM'!$P$33,2)+ROUND('05_原辅料BOM'!$I$34*'05_原辅料BOM'!$P$34,2)+ROUND('05_原辅料BOM'!$I$35*'05_原辅料BOM'!$P$35,2)+ROUND('05_原辅料BOM'!$I$36*'05_原辅料BOM'!$P$36,2)+ROUND('05_原辅料BOM'!$I$37*'05_原辅料BOM'!$P$37,2)+ROUND('05_原辅料BOM'!$I$38*'05_原辅料BOM'!$P$38,2)+ROUND('05_原辅料BOM'!$I$39*'05_原辅料BOM'!$P$39,2)+ROUND('05_原辅料BOM'!$I$40*'05_原辅料BOM'!$P$40,2)+ROUND('05_原辅料BOM'!$I$41/'02_假设与情景'!$B$8*(1+'02_假设与情景'!$B$9)*'05_原辅料BOM'!$P$41,2)+ROUND('05_原辅料BOM'!$I$42/'02_假设与情景'!$B$8*(1+'02_假设与情景'!$B$9)*'05_原辅料BOM'!$P$42,2)+ROUND('05_原辅料BOM'!$I$43/'02_假设与情景'!$B$8*(1+'02_假设与情景'!$B$9)*'05_原辅料BOM'!$P$43,2)+ROUND('05_原辅料BOM'!$I$44/'02_假设与情景'!$B$8*(1+'02_假设与情景'!$B$9)*'05_原辅料BOM'!$P$44,2)+ROUND('05_原辅料BOM'!$I$45/'02_假设与情景'!$B$8*(1+'02_假设与情景'!$B$9)*'05_原辅料BOM'!$P$45,2)+ROUND('05_原辅料BOM'!$I$46/'02_假设与情景'!$B$8*(1+'02_假设与情景'!$B$9)*'05_原辅料BOM'!$P$46,2)+ROUND('05_原辅料BOM'!$I$47/'02_假设与情景'!$B$8*(1+'02_假设与情景'!$B$9)*'05_原辅料BOM'!$P$47,2)+ROUND('05_原辅料BOM'!$I$48/'02_假设与情景'!$B$8*(1+'02_假设与情景'!$B$9)*'05_原辅料BOM'!$P$48,2)+ROUND('05_原辅料BOM'!$I$6/'02_假设与情景'!$B$8*(1+'02_假设与情景'!$B$9)*'05_原辅料BOM'!$P$6,2)+ROUND('05_原辅料BOM'!$I$7/'02_假设与情景'!$B$8*(1+'02_假设与情景'!$B$9)*'05_原辅料BOM'!$P$7,2)+ROUND('05_原辅料BOM'!$I$8/'02_假设与情景'!$B$8*(1+'02_假设与情景'!$B$9)*'05_原辅料BOM'!$P$8,2)+ROUND('05_原辅料BOM'!$I$9/'02_假设与情景'!$B$8*(1+'02_假设与情景'!$B$9)*'05_原辅料BOM'!$P$9,2)+ROUND('05_原辅料BOM'!$I$10/'02_假设与情景'!$B$8*(1+'02_假设与情景'!$B$9)*'05_原辅料BOM'!$P$10,2)+ROUND('05_原辅料BOM'!$I$11/'02_假设与情景'!$B$8*(1+'02_假设与情景'!$B$9)*'05_原辅料BOM'!$P$11,2)+ROUND('05_原辅料BOM'!$I$12*'05_原辅料BOM'!$P$12,2)+ROUND('05_原辅料BOM'!$I$13*'05_原辅料BOM'!$P$13,2)+ROUND('05_原辅料BOM'!$I$14/'02_假设与情景'!$B$8*(1+'02_假设与情景'!$B$9)*'05_原辅料BOM'!$P$14,2)+ROUND('05_原辅料BOM'!$I$15/'02_假设与情景'!$B$8*(1+'02_假设与情景'!$B$9)*'05_原辅料BOM'!$P$15,2)+ROUND('05_原辅料BOM'!$I$16/'02_假设与情景'!$B$8*(1+'02_假设与情景'!$B$9)*'05_原辅料BOM'!$P$16,2)+ROUND('05_原辅料BOM'!$I$17/'02_假设与情景'!$B$8*(1+'02_假设与情景'!$B$9)*'05_原辅料BOM'!$P$17,2)+ROUND('05_原辅料BOM'!$I$18/'02_假设与情景'!$B$8*(1+'02_假设与情景'!$B$9)*'05_原辅料BOM'!$P$18,2)+ROUND('05_原辅料BOM'!$I$19/'02_假设与情景'!$B$8*(1+'02_假设与情景'!$B$9)*'05_原辅料BOM'!$P$19,2)+ROUND('05_原辅料BOM'!$I$20*'05_原辅料BOM'!$P$20,2)+ROUND('05_原辅料BOM'!$I$21/'02_假设与情景'!$B$8*(1+'02_假设与情景'!$B$9)*'05_原辅料BOM'!$P$21,2)+ROUND('05_原辅料BOM'!$I$22/'02_假设与情景'!$B$8*(1+'02_假设与情景'!$B$9)*'05_原辅料BOM'!$P$22,2)+ROUND('05_原辅料BOM'!$I$23/'02_假设与情景'!$B$8*(1+'02_假设与情景'!$B$9)*'05_原辅料BOM'!$P$23,2)+ROUND('05_原辅料BOM'!$I$24/'02_假设与情景'!$B$8*(1+'02_假设与情景'!$B$9)*'05_原辅料BOM'!$P$24,2)+ROUND('05_原辅料BOM'!$I$25/'02_假设与情景'!$B$8*(1+'02_假设与情景'!$B$9)*'05_原辅料BOM'!$P$25,2)+ROUND('05_原辅料BOM'!$I$26/'02_假设与情景'!$B$8*(1+'02_假设与情景'!$B$9)*'05_原辅料BOM'!$P$26,2)+ROUND('05_原辅料BOM'!$I$27/'02_假设与情景'!$B$8*(1+'02_假设与情景'!$B$9)*'05_原辅料BOM'!$P$27,2)+ROUND('05_原辅料BOM'!$I$28/'02_假设与情景'!$B$8*(1+'02_假设与情景'!$B$9)*'05_原辅料BOM'!$P$28,2)+ROUND('05_原辅料BOM'!$I$29/'02_假设与情景'!$B$8*(1+'02_假设与情景'!$B$9)*'05_原辅料BOM'!$P$29,2)+ROUND('05_原辅料BOM'!$I$30*'05_原辅料BOM'!$P$30,2)+ROUND('05_原辅料BOM'!$I$31*'05_原辅料BOM'!$P$31,2)+ROUND('05_原辅料BOM'!$I$32*'05_原辅料BOM'!$P$32,2)+ROUND('05_原辅料BOM'!$I$33*'05_原辅料BOM'!$P$33,2)+ROUND('05_原辅料BOM'!$I$34*'05_原辅料BOM'!$P$34,2)+ROUND('05_原辅料BOM'!$I$35*'05_原辅料BOM'!$P$35,2)+ROUND('05_原辅料BOM'!$I$36*'05_原辅料BOM'!$P$36,2)+ROUND('05_原辅料BOM'!$I$37*'05_原辅料BOM'!$P$37,2)+ROUND('05_原辅料BOM'!$I$38*'05_原辅料BOM'!$P$38,2)+ROUND('05_原辅料BOM'!$I$39*'05_原辅料BOM'!$P$39,2)+ROUND('05_原辅料BOM'!$I$40*'05_原辅料BOM'!$P$40,2)+ROUND('05_原辅料BOM'!$I$41/'02_假设与情景'!$B$8*(1+'02_假设与情景'!$B$9)*'05_原辅料BOM'!$P$41,2)+ROUND('05_原辅料BOM'!$I$42/'02_假设与情景'!$B$8*(1+'02_假设与情景'!$B$9)*'05_原辅料BOM'!$P$42,2)+ROUND('05_原辅料BOM'!$I$43/'02_假设与情景'!$B$8*(1+'02_假设与情景'!$B$9)*'05_原辅料BOM'!$P$43,2)+ROUND('05_原辅料BOM'!$I$44/'02_假设与情景'!$B$8*(1+'02_假设与情景'!$B$9)*'05_原辅料BOM'!$P$44,2)+ROUND('05_原辅料BOM'!$I$45/'02_假设与情景'!$B$8*(1+'02_假设与情景'!$B$9)*'05_原辅料BOM'!$P$45,2)+ROUND('05_原辅料BOM'!$I$46/'02_假设与情景'!$B$8*(1+'02_假设与情景'!$B$9)*'05_原辅料BOM'!$P$46,2)+ROUND('05_原辅料BOM'!$I$47/'02_假设与情景'!$B$8*(1+'02_假设与情景'!$B$9)*'05_原辅料BOM'!$P$47,2)+ROUND('05_原辅料BOM'!$I$48/'02_假设与情景'!$B$8*(1+'02_假设与情景'!$B$9)*'05_原辅料BOM'!$P$48,2)/12*'02_假设与情景'!$B$12</x:f>
        <x:v>101868178.78499998</x:v>
      </x:c>
      <x:c r="L59" t="str">
        <x:v>当前</x:v>
      </x:c>
      <x:c r="M59" s="66" t="n">
        <x:f>SUMPRODUCT('03_CAPEX建设设备'!$J$6:$J$57,'03_CAPEX建设设备'!$P$6:$P$57)+SUMPRODUCT('04_OPEX年度运营'!$J$6:$J$36,'04_OPEX年度运营'!$P$6:$P$36)+SUMPRODUCT('05_原辅料BOM'!$J$6:$J$48,'05_原辅料BOM'!$P$6:$P$48)</x:f>
        <x:v>36789864.19805815</x:v>
      </x:c>
      <x:c r="O59" t="str">
        <x:v>国产双通道qPCR系统</x:v>
      </x:c>
      <x:c r="P59" s="66" t="n">
        <x:v>180000</x:v>
      </x:c>
      <x:c r="Q59" t="n">
        <x:v>7</x:v>
      </x:c>
    </x:row>
    <x:row r="60">
      <x:c r="A60" t="str">
        <x:v>EHS</x:v>
      </x:c>
      <x:c r="B60" s="66" t="n">
        <x:f>SUMIF('03_CAPEX建设设备'!$B$6:$B$57,A60,'03_CAPEX建设设备'!$U$6:$U$57)</x:f>
        <x:v>50000</x:v>
      </x:c>
      <x:c r="D60" t="str">
        <x:v>设备与厂务</x:v>
      </x:c>
      <x:c r="E60" s="66" t="n">
        <x:f>SUMIF('04_OPEX年度运营'!$B$6:$B$36,D60,'04_OPEX年度运营'!$U$6:$U$36)</x:f>
        <x:v>900000</x:v>
      </x:c>
      <x:c r="G60" t="str">
        <x:v>三情景使用同一价格、良率和损耗假设</x:v>
      </x:c>
      <x:c r="H60"/>
      <x:c r="I60"/>
      <x:c r="J60"/>
      <x:c r="M60" s="66"/>
      <x:c r="O60" t="str">
        <x:v>BioTek Synergy H1</x:v>
      </x:c>
      <x:c r="P60" s="66" t="n">
        <x:v>350000</x:v>
      </x:c>
      <x:c r="Q60" t="n">
        <x:v>9</x:v>
      </x:c>
    </x:row>
    <x:row r="61">
      <x:c r="A61" t="str">
        <x:v>厂务设施</x:v>
      </x:c>
      <x:c r="B61" s="66" t="n">
        <x:f>SUMIF('03_CAPEX建设设备'!$B$6:$B$57,A61,'03_CAPEX建设设备'!$U$6:$U$57)</x:f>
        <x:v>180000</x:v>
      </x:c>
      <x:c r="D61" t="str">
        <x:v>质量与合规</x:v>
      </x:c>
      <x:c r="E61" s="66" t="n">
        <x:f>SUMIF('04_OPEX年度运营'!$B$6:$B$36,D61,'04_OPEX年度运营'!$U$6:$U$36)</x:f>
        <x:v>3030000</x:v>
      </x:c>
      <x:c r="M61" s="66"/>
      <x:c r="O61" t="str">
        <x:v>SpectraMax iD5</x:v>
      </x:c>
      <x:c r="P61" s="66" t="n">
        <x:v>420000</x:v>
      </x:c>
      <x:c r="Q61" t="n">
        <x:v>9</x:v>
      </x:c>
    </x:row>
    <x:row r="62">
      <x:c r="A62" t="str">
        <x:v>仓储冷链</x:v>
      </x:c>
      <x:c r="B62" s="66" t="n">
        <x:f>SUMIF('03_CAPEX建设设备'!$B$6:$B$57,A62,'03_CAPEX建设设备'!$U$6:$U$57)</x:f>
        <x:v>773000</x:v>
      </x:c>
      <x:c r="D62" t="str">
        <x:v>EHS</x:v>
      </x:c>
      <x:c r="E62" s="66" t="n">
        <x:f>SUMIF('04_OPEX年度运营'!$B$6:$B$36,D62,'04_OPEX年度运营'!$U$6:$U$36)</x:f>
        <x:v>100000</x:v>
      </x:c>
      <x:c r="L62" s="25" t="str">
        <x:v>可信度</x:v>
      </x:c>
      <x:c r="M62" s="88" t="str">
        <x:v>金额</x:v>
      </x:c>
      <x:c r="O62" t="str">
        <x:v>国产恒温荧光酶标仪</x:v>
      </x:c>
      <x:c r="P62" s="66" t="n">
        <x:v>192500</x:v>
      </x:c>
      <x:c r="Q62" t="n">
        <x:v>7</x:v>
      </x:c>
    </x:row>
    <x:row r="63">
      <x:c r="A63" t="str">
        <x:v>生产设备</x:v>
      </x:c>
      <x:c r="B63" s="66" t="n">
        <x:f>SUMIF('03_CAPEX建设设备'!$B$6:$B$57,A63,'03_CAPEX建设设备'!$U$6:$U$57)</x:f>
        <x:v>2420000</x:v>
      </x:c>
      <x:c r="D63" t="str">
        <x:v>物流</x:v>
      </x:c>
      <x:c r="E63" s="66" t="n">
        <x:f>SUMIF('04_OPEX年度运营'!$B$6:$B$36,D63,'04_OPEX年度运营'!$U$6:$U$36)</x:f>
        <x:v>175000</x:v>
      </x:c>
      <x:c r="L63" t="str">
        <x:v>0-4 低可信</x:v>
      </x:c>
      <x:c r="M63" s="66" t="n">
        <x:f>SUMIF('03_CAPEX建设设备'!$X$6:$X$57,"&lt;=4",'03_CAPEX建设设备'!$U$6:$U$57)+SUMIF('04_OPEX年度运营'!$X$6:$X$36,"&lt;=4",'04_OPEX年度运营'!$U$6:$U$36)+SUMIF('05_原辅料BOM'!$X$6:$X$48,"&lt;=4",'05_原辅料BOM'!$U$6:$U$48)</x:f>
        <x:v>24060882.82</x:v>
      </x:c>
      <x:c r="O63" t="str">
        <x:v>正向引物完整构型RFQ-A</x:v>
      </x:c>
      <x:c r="P63" s="66" t="n">
        <x:v>180</x:v>
      </x:c>
      <x:c r="Q63" t="n">
        <x:v>9</x:v>
      </x:c>
    </x:row>
    <x:row r="64">
      <x:c r="A64" t="str">
        <x:v>包装设备</x:v>
      </x:c>
      <x:c r="B64" s="66" t="n">
        <x:f>SUMIF('03_CAPEX建设设备'!$B$6:$B$57,A64,'03_CAPEX建设设备'!$U$6:$U$57)</x:f>
        <x:v>480000</x:v>
      </x:c>
      <x:c r="D64" t="str">
        <x:v>信息化</x:v>
      </x:c>
      <x:c r="E64" s="66" t="n">
        <x:f>SUMIF('04_OPEX年度运营'!$B$6:$B$36,D64,'04_OPEX年度运营'!$U$6:$U$36)</x:f>
        <x:v>180000</x:v>
      </x:c>
      <x:c r="L64" t="str">
        <x:v>5-6 中可信</x:v>
      </x:c>
      <x:c r="M64" s="66" t="n">
        <x:f>SUMIFS('03_CAPEX建设设备'!$U$6:$U$57,'03_CAPEX建设设备'!$X$6:$X$57,"&gt;=5",'03_CAPEX建设设备'!$X$6:$X$57,"&lt;=6")+SUMIFS('04_OPEX年度运营'!$U$6:$U$36,'04_OPEX年度运营'!$X$6:$X$36,"&gt;=5",'04_OPEX年度运营'!$X$6:$X$36,"&lt;=6")+SUMIFS('05_原辅料BOM'!$U$6:$U$48,'05_原辅料BOM'!$X$6:$X$48,"&gt;=5",'05_原辅料BOM'!$X$6:$X$48,"&lt;=6")</x:f>
        <x:v>2391781.38</x:v>
      </x:c>
      <x:c r="O64" t="str">
        <x:v>正向引物完整构型RFQ-B</x:v>
      </x:c>
      <x:c r="P64" s="66" t="n">
        <x:v>162</x:v>
      </x:c>
      <x:c r="Q64" t="n">
        <x:v>8</x:v>
      </x:c>
    </x:row>
    <x:row r="65">
      <x:c r="A65" t="str">
        <x:v>QC设备</x:v>
      </x:c>
      <x:c r="B65" s="66" t="n">
        <x:f>SUMIF('03_CAPEX建设设备'!$B$6:$B$57,A65,'03_CAPEX建设设备'!$U$6:$U$57)</x:f>
        <x:v>2186000</x:v>
      </x:c>
      <x:c r="D65" t="str">
        <x:v>公司保障</x:v>
      </x:c>
      <x:c r="E65" s="66" t="n">
        <x:f>SUMIF('04_OPEX年度运营'!$B$6:$B$36,D65,'04_OPEX年度运营'!$U$6:$U$36)</x:f>
        <x:v>150000</x:v>
      </x:c>
      <x:c r="L65" t="str">
        <x:v>7-10 高可信</x:v>
      </x:c>
      <x:c r="M65" s="66" t="n">
        <x:f>SUMIF('03_CAPEX建设设备'!$X$6:$X$57,"&gt;=7",'03_CAPEX建设设备'!$U$6:$U$57)+SUMIF('04_OPEX年度运营'!$X$6:$X$36,"&gt;=7",'04_OPEX年度运营'!$U$6:$U$36)+SUMIF('05_原辅料BOM'!$X$6:$X$48,"&gt;=7",'05_原辅料BOM'!$U$6:$U$48)</x:f>
        <x:v>10337200</x:v>
      </x:c>
      <x:c r="O65" t="str">
        <x:v>反向引物完整构型RFQ-A</x:v>
      </x:c>
      <x:c r="P65" s="66" t="n">
        <x:v>180</x:v>
      </x:c>
      <x:c r="Q65" t="n">
        <x:v>9</x:v>
      </x:c>
    </x:row>
    <x:row r="66">
      <x:c r="A66" t="str">
        <x:v>通用设备</x:v>
      </x:c>
      <x:c r="B66" s="66" t="n">
        <x:f>SUMIF('03_CAPEX建设设备'!$B$6:$B$57,A66,'03_CAPEX建设设备'!$U$6:$U$57)</x:f>
        <x:v>856000</x:v>
      </x:c>
      <x:c r="D66" t="str">
        <x:v>卫生与清洁</x:v>
      </x:c>
      <x:c r="E66" s="66" t="n">
        <x:f>SUMIF('04_OPEX年度运营'!$B$6:$B$36,D66,'04_OPEX年度运营'!$U$6:$U$36)</x:f>
        <x:v>120000</x:v>
      </x:c>
      <x:c r="O66" t="str">
        <x:v>反向引物完整构型RFQ-B</x:v>
      </x:c>
      <x:c r="P66" s="66" t="n">
        <x:v>162</x:v>
      </x:c>
      <x:c r="Q66" t="n">
        <x:v>8</x:v>
      </x:c>
    </x:row>
    <x:row r="67">
      <x:c r="A67" t="str">
        <x:v>信息化</x:v>
      </x:c>
      <x:c r="B67" s="66" t="n">
        <x:f>SUMIF('03_CAPEX建设设备'!$B$6:$B$57,A67,'03_CAPEX建设设备'!$U$6:$U$57)</x:f>
        <x:v>900000</x:v>
      </x:c>
      <x:c r="D67" t="str">
        <x:v>行政</x:v>
      </x:c>
      <x:c r="E67" s="66" t="n">
        <x:f>SUMIF('04_OPEX年度运营'!$B$6:$B$36,D67,'04_OPEX年度运营'!$U$6:$U$36)</x:f>
        <x:v>150000</x:v>
      </x:c>
      <x:c r="O67" t="str">
        <x:v>P双BHQ完整构型RFQ-A</x:v>
      </x:c>
      <x:c r="P67" s="66" t="n">
        <x:v>1800</x:v>
      </x:c>
      <x:c r="Q67" t="n">
        <x:v>9</x:v>
      </x:c>
    </x:row>
    <x:row r="68">
      <x:c r="A68" t="str">
        <x:v>验证与合规</x:v>
      </x:c>
      <x:c r="B68" s="66" t="n">
        <x:f>SUMIF('03_CAPEX建设设备'!$B$6:$B$57,A68,'03_CAPEX建设设备'!$U$6:$U$57)</x:f>
        <x:v>1000000</x:v>
      </x:c>
      <x:c r="D68" t="str">
        <x:v>风险准备</x:v>
      </x:c>
      <x:c r="E68" s="66" t="n">
        <x:f>SUMIF('04_OPEX年度运营'!$B$6:$B$36,D68,'04_OPEX年度运营'!$U$6:$U$36)</x:f>
        <x:v>300000</x:v>
      </x:c>
      <x:c r="O68" t="str">
        <x:v>P双BHQ完整构型RFQ-B</x:v>
      </x:c>
      <x:c r="P68" s="66" t="n">
        <x:v>1620</x:v>
      </x:c>
      <x:c r="Q68" t="n">
        <x:v>9</x:v>
      </x:c>
    </x:row>
    <x:row r="69">
      <x:c r="A69" t="str">
        <x:v>项目实施</x:v>
      </x:c>
      <x:c r="B69" s="66" t="n">
        <x:f>SUMIF('03_CAPEX建设设备'!$B$6:$B$57,A69,'03_CAPEX建设设备'!$U$6:$U$57)</x:f>
        <x:v>1300000</x:v>
      </x:c>
      <x:c r="E69" s="66"/>
      <x:c r="O69" t="str">
        <x:v>C双荧光完整构型RFQ-A</x:v>
      </x:c>
      <x:c r="P69" s="66" t="n">
        <x:v>1500</x:v>
      </x:c>
      <x:c r="Q69" t="n">
        <x:v>9</x:v>
      </x:c>
    </x:row>
    <x:row r="70">
      <x:c r="B70" s="66"/>
      <x:c r="E70" s="66"/>
      <x:c r="O70" t="str">
        <x:v>C双荧光完整构型RFQ-B</x:v>
      </x:c>
      <x:c r="P70" s="66" t="n">
        <x:v>1350</x:v>
      </x:c>
      <x:c r="Q70" t="n">
        <x:v>8</x:v>
      </x:c>
    </x:row>
    <x:row r="71">
      <x:c r="B71" s="66"/>
      <x:c r="E71" s="66"/>
      <x:c r="P71" s="66"/>
    </x:row>
    <x:row r="72">
      <x:c r="B72" s="66"/>
      <x:c r="E72" s="66"/>
      <x:c r="P72" s="66"/>
    </x:row>
    <x:row r="73">
      <x:c r="B73" s="66"/>
      <x:c r="E73" s="66"/>
      <x:c r="P73" s="66"/>
    </x:row>
    <x:row r="74">
      <x:c r="B74" s="66"/>
      <x:c r="E74" s="66"/>
      <x:c r="P74" s="66"/>
    </x:row>
    <x:row r="75">
      <x:c r="B75" s="66"/>
      <x:c r="E75" s="66"/>
      <x:c r="P75" s="66"/>
    </x:row>
    <x:row r="76">
      <x:c r="B76" s="66"/>
      <x:c r="E76" s="66"/>
      <x:c r="P76" s="66"/>
    </x:row>
    <x:row r="77">
      <x:c r="B77" s="66"/>
      <x:c r="E77" s="66"/>
      <x:c r="P77" s="66"/>
    </x:row>
    <x:row r="78">
      <x:c r="B78" s="66"/>
      <x:c r="E78" s="66"/>
      <x:c r="P78" s="66"/>
    </x:row>
    <x:row r="79">
      <x:c r="B79" s="66"/>
      <x:c r="E79" s="66"/>
      <x:c r="P79" s="66"/>
    </x:row>
    <x:row r="80">
      <x:c r="B80" s="66"/>
      <x:c r="E80" s="66"/>
      <x:c r="P80" s="66"/>
    </x:row>
    <x:row r="81">
      <x:c r="B81" s="66"/>
      <x:c r="E81" s="66"/>
    </x:row>
    <x:row r="82">
      <x:c r="B82" s="66"/>
      <x:c r="E82" s="66"/>
    </x:row>
    <x:row r="83">
      <x:c r="B83" s="66"/>
      <x:c r="E83" s="66"/>
    </x:row>
    <x:row r="84">
      <x:c r="B84" s="66"/>
      <x:c r="E84" s="66"/>
    </x:row>
    <x:row r="85">
      <x:c r="B85" s="66"/>
      <x:c r="E85" s="66"/>
    </x:row>
    <x:row r="86">
      <x:c r="B86" s="66"/>
      <x:c r="E86" s="66"/>
    </x:row>
    <x:row r="87">
      <x:c r="B87" s="66"/>
      <x:c r="E87" s="66"/>
    </x:row>
    <x:row r="88">
      <x:c r="B88" s="66"/>
      <x:c r="E88" s="66"/>
    </x:row>
    <x:row r="89">
      <x:c r="B89" s="66"/>
      <x:c r="E89" s="66"/>
    </x:row>
    <x:row r="90">
      <x:c r="B90" s="66"/>
      <x:c r="E90" s="66"/>
    </x:row>
  </x:sheetData>
  <x:mergeCells>
    <x:mergeCell ref="A1:N1"/>
    <x:mergeCell ref="A2:N2"/>
    <x:mergeCell ref="A4:N4"/>
    <x:mergeCell ref="G5:N5"/>
    <x:mergeCell ref="A7:N7"/>
    <x:mergeCell ref="A8:C8"/>
    <x:mergeCell ref="A9:C9"/>
    <x:mergeCell ref="D8:F8"/>
    <x:mergeCell ref="D9:F9"/>
    <x:mergeCell ref="G8:I8"/>
    <x:mergeCell ref="G9:I9"/>
    <x:mergeCell ref="J8:L8"/>
    <x:mergeCell ref="J9:L9"/>
    <x:mergeCell ref="A10:C10"/>
    <x:mergeCell ref="A11:C11"/>
    <x:mergeCell ref="D10:F10"/>
    <x:mergeCell ref="D11:F11"/>
    <x:mergeCell ref="G10:I10"/>
    <x:mergeCell ref="G11:I11"/>
    <x:mergeCell ref="J10:L10"/>
    <x:mergeCell ref="J11:L11"/>
    <x:mergeCell ref="A12:C12"/>
    <x:mergeCell ref="A13:C13"/>
    <x:mergeCell ref="D12:F12"/>
    <x:mergeCell ref="D13:F13"/>
    <x:mergeCell ref="G12:I12"/>
    <x:mergeCell ref="G13:I13"/>
    <x:mergeCell ref="J12:L12"/>
    <x:mergeCell ref="J13:L13"/>
    <x:mergeCell ref="A15:N15"/>
    <x:mergeCell ref="G60:J60"/>
  </x:mergeCells>
  <x:conditionalFormatting sqref="E5:E5">
    <x:cfRule type="containsText" dxfId="17" priority="1" operator="containsText" text="PASS"/>
    <x:cfRule type="containsText" dxfId="18" priority="2" operator="containsText" text="FAIL"/>
  </x:conditionalFormatting>
  <x:pageMargins left="0.7" right="0.7" top="0.75" bottom="0.75" header="0.3" footer="0.3"/>
  <x:drawing xmlns:r="http://schemas.openxmlformats.org/officeDocument/2006/relationships" r:id="R83dcf6bb6dd9446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0" hidden="0" customWidth="1"/>
    <x:col min="5" max="5" width="3" hidden="0" customWidth="1"/>
    <x:col min="6" max="6" width="18" hidden="0" customWidth="1"/>
    <x:col min="7" max="7" width="22" hidden="0" customWidth="1"/>
    <x:col min="8" max="8" width="34" hidden="0" customWidth="1"/>
  </x:cols>
  <x:sheetData>
    <x:row r="1" ht="30" customHeight="1">
      <x:c r="A1" s="3" t="str">
        <x:v>假设与情景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蓝字单元格为可编辑输入；所有输出表均引用本页。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当前选择与核心假设</x:v>
      </x:c>
      <x:c r="B4" s="10"/>
      <x:c r="C4" s="10"/>
      <x:c r="D4" s="10"/>
      <x:c r="F4" s="10" t="str">
        <x:v>替代品评分权重</x:v>
      </x:c>
      <x:c r="G4" s="10"/>
      <x:c r="H4" s="10"/>
    </x:row>
    <x:row r="5">
      <x:c r="A5" t="str">
        <x:v>情景选择</x:v>
      </x:c>
      <x:c r="B5" s="29" t="str">
        <x:v>S2</x:v>
      </x:c>
      <x:c r="F5" s="25" t="str">
        <x:v>权重 ID</x:v>
      </x:c>
      <x:c r="G5" s="26" t="str">
        <x:v>维度</x:v>
      </x:c>
      <x:c r="H5" s="27" t="str">
        <x:v>权重</x:v>
      </x:c>
    </x:row>
    <x:row r="6">
      <x:c r="A6" t="str">
        <x:v>选中年产能（盒）</x:v>
      </x:c>
      <x:c r="B6" s="38" t="n">
        <x:f>IF(B5="S1",C16,IF(B5="S2",C17,C18))</x:f>
        <x:v>50000</x:v>
      </x:c>
      <x:c r="F6" t="str">
        <x:v>W-PRICE</x:v>
      </x:c>
      <x:c r="G6" t="str">
        <x:v>价格</x:v>
      </x:c>
      <x:c r="H6" s="37" t="n">
        <x:v>0.3</x:v>
      </x:c>
    </x:row>
    <x:row r="7">
      <x:c r="A7" t="str">
        <x:v>选中厂房面积（m2）</x:v>
      </x:c>
      <x:c r="B7" s="38" t="n">
        <x:f>IF(B5="S1",D16,IF(B5="S2",D17,D18))</x:f>
        <x:v>1000</x:v>
      </x:c>
      <x:c r="F7" t="str">
        <x:v>W-QUALITY</x:v>
      </x:c>
      <x:c r="G7" t="str">
        <x:v>质量</x:v>
      </x:c>
      <x:c r="H7" s="37" t="n">
        <x:v>0.25</x:v>
      </x:c>
    </x:row>
    <x:row r="8">
      <x:c r="A8" t="str">
        <x:v>成品良率</x:v>
      </x:c>
      <x:c r="B8" s="37" t="n">
        <x:v>0.92</x:v>
      </x:c>
      <x:c r="F8" t="str">
        <x:v>W-COMPAT</x:v>
      </x:c>
      <x:c r="G8" t="str">
        <x:v>兼容性</x:v>
      </x:c>
      <x:c r="H8" s="37" t="n">
        <x:v>0.15</x:v>
      </x:c>
    </x:row>
    <x:row r="9">
      <x:c r="A9" t="str">
        <x:v>物料损耗率</x:v>
      </x:c>
      <x:c r="B9" s="37" t="n">
        <x:v>0.05</x:v>
      </x:c>
      <x:c r="F9" t="str">
        <x:v>W-SUPPLY</x:v>
      </x:c>
      <x:c r="G9" t="str">
        <x:v>供应</x:v>
      </x:c>
      <x:c r="H9" s="37" t="n">
        <x:v>0.1</x:v>
      </x:c>
    </x:row>
    <x:row r="10">
      <x:c r="A10" t="str">
        <x:v>CAPEX 预备费率</x:v>
      </x:c>
      <x:c r="B10" s="37" t="n">
        <x:v>0.12</x:v>
      </x:c>
      <x:c r="F10" t="str">
        <x:v>W-SERVICE</x:v>
      </x:c>
      <x:c r="G10" t="str">
        <x:v>服务</x:v>
      </x:c>
      <x:c r="H10" s="37" t="n">
        <x:v>0.1</x:v>
      </x:c>
    </x:row>
    <x:row r="11">
      <x:c r="A11" t="str">
        <x:v>OPEX 预备费率</x:v>
      </x:c>
      <x:c r="B11" s="37" t="n">
        <x:v>0.08</x:v>
      </x:c>
      <x:c r="F11" t="str">
        <x:v>W-EVIDENCE</x:v>
      </x:c>
      <x:c r="G11" t="str">
        <x:v>证据</x:v>
      </x:c>
      <x:c r="H11" s="37" t="n">
        <x:v>0.1</x:v>
      </x:c>
    </x:row>
    <x:row r="12">
      <x:c r="A12" t="str">
        <x:v>初始库存月数</x:v>
      </x:c>
      <x:c r="B12" s="39" t="n">
        <x:v>2</x:v>
      </x:c>
      <x:c r="F12" s="46" t="str">
        <x:v>CHECK</x:v>
      </x:c>
      <x:c r="G12" s="46" t="str">
        <x:v>权重合计</x:v>
      </x:c>
      <x:c r="H12" s="47" t="n">
        <x:f>SUM(H6:H11)</x:f>
        <x:v>1</x:v>
      </x:c>
    </x:row>
    <x:row r="14">
      <x:c r="A14" s="10" t="str">
        <x:v>三档产能情景</x:v>
      </x:c>
      <x:c r="B14" s="10"/>
      <x:c r="C14" s="10"/>
      <x:c r="D14" s="10"/>
      <x:c r="F14" s="10" t="str">
        <x:v>建模口径</x:v>
      </x:c>
      <x:c r="G14" s="10"/>
      <x:c r="H14" s="10"/>
    </x:row>
    <x:row r="15">
      <x:c r="A15" s="25" t="str">
        <x:v>情景</x:v>
      </x:c>
      <x:c r="B15" s="26" t="str">
        <x:v>名称</x:v>
      </x:c>
      <x:c r="C15" s="26" t="str">
        <x:v>年产能（盒）</x:v>
      </x:c>
      <x:c r="D15" s="27" t="str">
        <x:v>厂房面积（m2）</x:v>
      </x:c>
      <x:c r="F15" s="25" t="str">
        <x:v>口径</x:v>
      </x:c>
      <x:c r="G15" s="26" t="str">
        <x:v>值</x:v>
      </x:c>
      <x:c r="H15" s="27" t="str">
        <x:v>说明</x:v>
      </x:c>
    </x:row>
    <x:row r="16">
      <x:c r="A16" s="29" t="str">
        <x:v>S1</x:v>
      </x:c>
      <x:c r="B16" s="29" t="str">
        <x:v>研发/中试</x:v>
      </x:c>
      <x:c r="C16" s="40" t="n">
        <x:v>10000</x:v>
      </x:c>
      <x:c r="D16" s="40" t="n">
        <x:v>800</x:v>
      </x:c>
      <x:c r="F16" s="12" t="str">
        <x:v>币种</x:v>
      </x:c>
      <x:c r="G16" s="12" t="str">
        <x:v>CNY</x:v>
      </x:c>
      <x:c r="H16" s="12" t="str">
        <x:v>人民币</x:v>
      </x:c>
    </x:row>
    <x:row r="17">
      <x:c r="A17" s="29" t="str">
        <x:v>S2</x:v>
      </x:c>
      <x:c r="B17" s="29" t="str">
        <x:v>早期商业化</x:v>
      </x:c>
      <x:c r="C17" s="40" t="n">
        <x:v>50000</x:v>
      </x:c>
      <x:c r="D17" s="40" t="n">
        <x:v>1000</x:v>
      </x:c>
      <x:c r="F17" s="12" t="str">
        <x:v>地区</x:v>
      </x:c>
      <x:c r="G17" s="12" t="str">
        <x:v>成都/四川</x:v>
      </x:c>
      <x:c r="H17" s="12" t="str">
        <x:v>园区/正式报价需复核</x:v>
      </x:c>
    </x:row>
    <x:row r="18">
      <x:c r="A18" s="29" t="str">
        <x:v>S3</x:v>
      </x:c>
      <x:c r="B18" s="29" t="str">
        <x:v>规模量产</x:v>
      </x:c>
      <x:c r="C18" s="40" t="n">
        <x:v>200000</x:v>
      </x:c>
      <x:c r="D18" s="40" t="n">
        <x:v>1200</x:v>
      </x:c>
      <x:c r="F18" s="12" t="str">
        <x:v>价格基准</x:v>
      </x:c>
      <x:c r="G18" s="12" t="str">
        <x:v>含税到厂价</x:v>
      </x:c>
      <x:c r="H18" s="12" t="str">
        <x:v>未知税费与运装成本不填 0</x:v>
      </x:c>
    </x:row>
    <x:row r="19">
      <x:c r="F19" s="12" t="str">
        <x:v>基准日</x:v>
      </x:c>
      <x:c r="G19" s="12" t="str">
        <x:v>2026-08-17</x:v>
      </x:c>
      <x:c r="H19" s="12" t="str">
        <x:v>当前价格检索截止</x:v>
      </x:c>
    </x:row>
    <x:row r="20">
      <x:c r="F20" s="12" t="str">
        <x:v>BOM 数量</x:v>
      </x:c>
      <x:c r="G20" s="12" t="str">
        <x:v>按良率和损耗率调整</x:v>
      </x:c>
      <x:c r="H20" s="12" t="str">
        <x:v>年度采购量 = 场景量/良率*(1+损耗)</x:v>
      </x:c>
    </x:row>
    <x:row r="21">
      <x:c r="F21" s="12" t="str">
        <x:v>单位成本</x:v>
      </x:c>
      <x:c r="G21" s="12" t="str">
        <x:v>OPEX+BOM / 合格盒数</x:v>
      </x:c>
      <x:c r="H21" s="12" t="str">
        <x:v>不含销售费用和融资成本</x:v>
      </x:c>
    </x:row>
  </x:sheetData>
  <x:mergeCells>
    <x:mergeCell ref="A1:H1"/>
    <x:mergeCell ref="A2:H2"/>
    <x:mergeCell ref="A4:D4"/>
    <x:mergeCell ref="A14:D14"/>
    <x:mergeCell ref="F4:H4"/>
    <x:mergeCell ref="F14:H14"/>
  </x:mergeCells>
  <x:conditionalFormatting sqref="H12:H12">
    <x:cfRule type="cellIs" dxfId="0" priority="1" operator="notEqual">
      <x:formula>1</x:formula>
    </x:cfRule>
  </x:conditionalFormatting>
  <x:dataValidations count="1">
    <x:dataValidation type="list" sqref="B5">
      <x:formula1>"S1,S2,S3"</x:formula1>
    </x:dataValidation>
  </x:dataValidations>
  <x:pageMargins left="0.7" right="0.7" top="0.75" bottom="0.75" header="0.3" footer="0.3"/>
  <x:legacyDrawing xmlns:r="http://schemas.openxmlformats.org/officeDocument/2006/relationships" r:id="R0bd6cdf64b30479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24" hidden="0" customWidth="1"/>
    <x:col min="5" max="5" width="36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9" hidden="0" customWidth="1"/>
    <x:col min="13" max="13" width="30" hidden="0" customWidth="1"/>
    <x:col min="14" max="14" width="12" hidden="0" customWidth="1"/>
    <x:col min="15" max="15" width="12" hidden="0" customWidth="1"/>
    <x:col min="16" max="16" width="15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8" hidden="0" customWidth="1"/>
    <x:col min="22" max="22" width="18" hidden="0" customWidth="1"/>
    <x:col min="23" max="23" width="18" hidden="0" customWidth="1"/>
    <x:col min="24" max="24" width="11" hidden="0" customWidth="1"/>
    <x:col min="25" max="25" width="24" hidden="0" customWidth="1"/>
    <x:col min="26" max="26" width="32" hidden="0" customWidth="1"/>
    <x:col min="27" max="27" width="30" hidden="0" customWidth="1"/>
    <x:col min="28" max="28" width="42" hidden="0" customWidth="1"/>
  </x:cols>
  <x:sheetData>
    <x:row r="1" ht="30" customHeight="1">
      <x:c r="A1" s="3" t="str">
        <x:v>CAPEX 建设与设备明细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2" customHeight="1">
      <x:c r="A2" s="7" t="str">
        <x:v>选中情景引用 02_假设与情景；52 个可采购/可预算项目。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3">
      <x:c r="A3" s="10" t="str">
        <x:v>当前基准总额</x:v>
      </x:c>
      <x:c r="B3" s="10"/>
      <x:c r="C3" s="10" t="str">
        <x:v>低位总额</x:v>
      </x:c>
      <x:c r="D3" s="10"/>
      <x:c r="E3" s="10" t="str">
        <x:v>高位总额</x:v>
      </x:c>
      <x:c r="F3" s="10"/>
      <x:c r="G3" s="10" t="str">
        <x:v>低可信金额</x:v>
      </x:c>
      <x:c r="H3" s="10"/>
    </x:row>
    <x:row r="4">
      <x:c r="A4" s="48" t="n">
        <x:f>ROUND(SUM(U6:U57),2)</x:f>
        <x:v>15503000</x:v>
      </x:c>
      <x:c r="B4" s="48"/>
      <x:c r="C4" s="48" t="n">
        <x:f>ROUND(SUM(V6:V57),2)</x:f>
        <x:v>9045000</x:v>
      </x:c>
      <x:c r="D4" s="48"/>
      <x:c r="E4" s="48" t="n">
        <x:f>ROUND(SUM(W6:W57),2)</x:f>
        <x:v>29869000</x:v>
      </x:c>
      <x:c r="F4" s="48"/>
      <x:c r="G4" s="48" t="n">
        <x:f>ROUND(SUMIF(X6:X57,"&lt;=4",U6:U57),2)</x:f>
        <x:v>13501000</x:v>
      </x:c>
      <x:c r="H4" s="48"/>
    </x:row>
    <x:row r="5">
      <x:c r="A5" s="25" t="str">
        <x:v>项目ID</x:v>
      </x:c>
      <x:c r="B5" s="26" t="str">
        <x:v>类别</x:v>
      </x:c>
      <x:c r="C5" s="26" t="str">
        <x:v>子类别</x:v>
      </x:c>
      <x:c r="D5" s="26" t="str">
        <x:v>项目</x:v>
      </x:c>
      <x:c r="E5" s="26" t="str">
        <x:v>规格/服务边界</x:v>
      </x:c>
      <x:c r="F5" s="26" t="str">
        <x:v>单位</x:v>
      </x:c>
      <x:c r="G5" s="26" t="str">
        <x:v>S1数量</x:v>
      </x:c>
      <x:c r="H5" s="26" t="str">
        <x:v>S2数量</x:v>
      </x:c>
      <x:c r="I5" s="26" t="str">
        <x:v>S3数量</x:v>
      </x:c>
      <x:c r="J5" s="26" t="str">
        <x:v>选中数量</x:v>
      </x:c>
      <x:c r="K5" s="26" t="str">
        <x:v>原始价</x:v>
      </x:c>
      <x:c r="L5" s="26" t="str">
        <x:v>币种</x:v>
      </x:c>
      <x:c r="M5" s="26" t="str">
        <x:v>税态</x:v>
      </x:c>
      <x:c r="N5" s="26" t="str">
        <x:v>运费</x:v>
      </x:c>
      <x:c r="O5" s="26" t="str">
        <x:v>安装调试</x:v>
      </x:c>
      <x:c r="P5" s="26" t="str">
        <x:v>当前到厂单价</x:v>
      </x:c>
      <x:c r="Q5" s="26" t="str">
        <x:v>2025单价</x:v>
      </x:c>
      <x:c r="R5" s="26" t="str">
        <x:v>2024单价</x:v>
      </x:c>
      <x:c r="S5" s="26" t="str">
        <x:v>低价</x:v>
      </x:c>
      <x:c r="T5" s="26" t="str">
        <x:v>高价</x:v>
      </x:c>
      <x:c r="U5" s="26" t="str">
        <x:v>当前金额</x:v>
      </x:c>
      <x:c r="V5" s="26" t="str">
        <x:v>低位金额</x:v>
      </x:c>
      <x:c r="W5" s="26" t="str">
        <x:v>高位金额</x:v>
      </x:c>
      <x:c r="X5" s="26" t="str">
        <x:v>当前可信度</x:v>
      </x:c>
      <x:c r="Y5" s="26" t="str">
        <x:v>来源ID</x:v>
      </x:c>
      <x:c r="Z5" s="26" t="str">
        <x:v>询价状态</x:v>
      </x:c>
      <x:c r="AA5" s="26" t="str">
        <x:v>流程映射</x:v>
      </x:c>
      <x:c r="AB5" s="27" t="str">
        <x:v>备注</x:v>
      </x:c>
    </x:row>
    <x:row r="6">
      <x:c r="A6" t="str">
        <x:v>CAPEX-001</x:v>
      </x:c>
      <x:c r="B6" t="str">
        <x:v>前期与设计</x:v>
      </x:c>
      <x:c r="C6" t="str">
        <x:v>咨询设计</x:v>
      </x:c>
      <x:c r="D6" t="str">
        <x:v>项目可行性、URS与概念设计</x:v>
      </x:c>
      <x:c r="E6" t="str">
        <x:v>含产能、流程、平面及公用工程需求</x:v>
      </x:c>
      <x:c r="F6" t="str">
        <x:v>项</x:v>
      </x:c>
      <x:c r="G6" s="49" t="n">
        <x:v>1</x:v>
      </x:c>
      <x:c r="H6" s="49" t="n">
        <x:v>1</x:v>
      </x:c>
      <x:c r="I6" s="49" t="n">
        <x:v>1</x:v>
      </x:c>
      <x:c r="J6" s="50" t="n">
        <x:f>IF('02_假设与情景'!$B$5="S1",G6,IF('02_假设与情景'!$B$5="S2",H6,I6))</x:f>
        <x:v>1</x:v>
      </x:c>
      <x:c r="K6" s="56" t="n">
        <x:v>250000</x:v>
      </x:c>
      <x:c r="L6" s="29" t="str">
        <x:v>CNY</x:v>
      </x:c>
      <x:c r="M6" s="29" t="str">
        <x:v>原始来源税态未统一披露；模型按含税到厂预算口径归一化，正式询价复核</x:v>
      </x:c>
      <x:c r="N6" s="29"/>
      <x:c r="O6" s="29"/>
      <x:c r="P6" s="57" t="n">
        <x:v>250000</x:v>
      </x:c>
      <x:c r="Q6" s="57" t="n">
        <x:v>240153.6984</x:v>
      </x:c>
      <x:c r="R6" s="57" t="n">
        <x:v>247071.7062</x:v>
      </x:c>
      <x:c r="S6" s="57" t="n">
        <x:v>120000</x:v>
      </x:c>
      <x:c r="T6" s="57" t="n">
        <x:v>500000</x:v>
      </x:c>
      <x:c r="U6" s="52" t="n">
        <x:f>ROUND(J6*P6,2)</x:f>
        <x:v>250000</x:v>
      </x:c>
      <x:c r="V6" s="52" t="n">
        <x:f>ROUND(J6*S6,2)</x:f>
        <x:v>120000</x:v>
      </x:c>
      <x:c r="W6" s="52" t="n">
        <x:f>ROUND(J6*T6,2)</x:f>
        <x:v>500000</x:v>
      </x:c>
      <x:c r="X6" s="53" t="n">
        <x:v>3</x:v>
      </x:c>
      <x:c r="Y6" s="59" t="str">
        <x:v>SRC-031, SRC-009, SRC-010, SRC-011</x:v>
      </x:c>
      <x:c r="Z6" s="59" t="str">
        <x:v>需正式询价；当前值仅作预算占位或低可信市场锚点</x:v>
      </x:c>
      <x:c r="AA6" s="59" t="str">
        <x:v>建厂选址/整体工艺</x:v>
      </x:c>
      <x:c r="AB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7">
      <x:c r="A7" t="str">
        <x:v>CAPEX-002</x:v>
      </x:c>
      <x:c r="B7" t="str">
        <x:v>厂房与洁净工程</x:v>
      </x:c>
      <x:c r="C7" t="str">
        <x:v>基础改造</x:v>
      </x:c>
      <x:c r="D7" t="str">
        <x:v>租赁厂房基础装修改造</x:v>
      </x:c>
      <x:c r="E7" t="str">
        <x:v>仅含非洁净建筑壳体、普通地面/墙顶面、给排水和设备接口/承重适配；不含洁净围护、HVAC、HEPA、压差监测和专项验证</x:v>
      </x:c>
      <x:c r="F7" t="str">
        <x:v>m2</x:v>
      </x:c>
      <x:c r="G7" s="49" t="n">
        <x:v>800</x:v>
      </x:c>
      <x:c r="H7" s="49" t="n">
        <x:v>1000</x:v>
      </x:c>
      <x:c r="I7" s="49" t="n">
        <x:v>1200</x:v>
      </x:c>
      <x:c r="J7" s="50" t="n">
        <x:f>IF('02_假设与情景'!$B$5="S1",G7,IF('02_假设与情景'!$B$5="S2",H7,I7))</x:f>
        <x:v>1000</x:v>
      </x:c>
      <x:c r="K7" s="56" t="n">
        <x:v>800</x:v>
      </x:c>
      <x:c r="L7" s="29" t="str">
        <x:v>CNY</x:v>
      </x:c>
      <x:c r="M7" s="29" t="str">
        <x:v>原始来源税态未统一披露；模型按含税到厂预算口径归一化，正式询价复核</x:v>
      </x:c>
      <x:c r="N7" s="29"/>
      <x:c r="O7" s="29"/>
      <x:c r="P7" s="57" t="n">
        <x:v>800</x:v>
      </x:c>
      <x:c r="Q7" s="57" t="n">
        <x:v>768.4918</x:v>
      </x:c>
      <x:c r="R7" s="57" t="n">
        <x:v>790.6294</x:v>
      </x:c>
      <x:c r="S7" s="57" t="n">
        <x:v>500</x:v>
      </x:c>
      <x:c r="T7" s="57" t="n">
        <x:v>1400</x:v>
      </x:c>
      <x:c r="U7" s="52" t="n">
        <x:f>ROUND(J7*P7,2)</x:f>
        <x:v>800000</x:v>
      </x:c>
      <x:c r="V7" s="52" t="n">
        <x:f>ROUND(J7*S7,2)</x:f>
        <x:v>500000</x:v>
      </x:c>
      <x:c r="W7" s="52" t="n">
        <x:f>ROUND(J7*T7,2)</x:f>
        <x:v>1400000</x:v>
      </x:c>
      <x:c r="X7" s="53" t="n">
        <x:v>4</x:v>
      </x:c>
      <x:c r="Y7" s="59" t="str">
        <x:v>SRC-015, SRC-031, SRC-009, SRC-010, SRC-011</x:v>
      </x:c>
      <x:c r="Z7" s="59" t="str">
        <x:v>需正式询价；当前值仅作预算占位或低可信市场锚点</x:v>
      </x:c>
      <x:c r="AA7" s="59" t="str">
        <x:v>建厂选址/占地800-1200平</x:v>
      </x:c>
      <x:c r="AB7" s="59" t="str">
        <x:v>与CAPEX-003至009、CAPEX-010及CAPEX-011严格分界；正式工程量清单应按房间、系统和验证责任拆项，避免重复计价</x:v>
      </x:c>
    </x:row>
    <x:row r="8">
      <x:c r="A8" t="str">
        <x:v>CAPEX-003</x:v>
      </x:c>
      <x:c r="B8" t="str">
        <x:v>厂房与洁净工程</x:v>
      </x:c>
      <x:c r="C8" t="str">
        <x:v>ISO7</x:v>
      </x:c>
      <x:c r="D8" t="str">
        <x:v>PCR Mix ISO7配制间</x:v>
      </x:c>
      <x:c r="E8" t="str">
        <x:v>仅含PCR Mix房间洁净围护、洁净表面、门窗和固定收口；不含HVAC、HEPA/压差监测和工艺设备</x:v>
      </x:c>
      <x:c r="F8" t="str">
        <x:v>m2</x:v>
      </x:c>
      <x:c r="G8" s="49" t="n">
        <x:v>100</x:v>
      </x:c>
      <x:c r="H8" s="49" t="n">
        <x:v>140</x:v>
      </x:c>
      <x:c r="I8" s="49" t="n">
        <x:v>180</x:v>
      </x:c>
      <x:c r="J8" s="50" t="n">
        <x:f>IF('02_假设与情景'!$B$5="S1",G8,IF('02_假设与情景'!$B$5="S2",H8,I8))</x:f>
        <x:v>140</x:v>
      </x:c>
      <x:c r="K8" s="56" t="n">
        <x:v>1600</x:v>
      </x:c>
      <x:c r="L8" s="29" t="str">
        <x:v>CNY</x:v>
      </x:c>
      <x:c r="M8" s="29" t="str">
        <x:v>原始来源税态未统一披露；模型按含税到厂预算口径归一化，正式询价复核</x:v>
      </x:c>
      <x:c r="N8" s="29"/>
      <x:c r="O8" s="29"/>
      <x:c r="P8" s="57" t="n">
        <x:v>1600</x:v>
      </x:c>
      <x:c r="Q8" s="57" t="n">
        <x:v>1536.9837</x:v>
      </x:c>
      <x:c r="R8" s="57" t="n">
        <x:v>1581.259</x:v>
      </x:c>
      <x:c r="S8" s="57" t="n">
        <x:v>1100</x:v>
      </x:c>
      <x:c r="T8" s="57" t="n">
        <x:v>2400</x:v>
      </x:c>
      <x:c r="U8" s="52" t="n">
        <x:f>ROUND(J8*P8,2)</x:f>
        <x:v>224000</x:v>
      </x:c>
      <x:c r="V8" s="52" t="n">
        <x:f>ROUND(J8*S8,2)</x:f>
        <x:v>154000</x:v>
      </x:c>
      <x:c r="W8" s="52" t="n">
        <x:f>ROUND(J8*T8,2)</x:f>
        <x:v>336000</x:v>
      </x:c>
      <x:c r="X8" s="53" t="n">
        <x:v>4</x:v>
      </x:c>
      <x:c r="Y8" s="59" t="str">
        <x:v>SRC-018, SRC-009, SRC-010, SRC-011</x:v>
      </x:c>
      <x:c r="Z8" s="59" t="str">
        <x:v>公开价格锚点；正式采购仍需同规格、同税费和服务范围询价</x:v>
      </x:c>
      <x:c r="AA8" s="59" t="str">
        <x:v>厂房布局/ISO7 PCR Mix配制间</x:v>
      </x:c>
      <x:c r="AB8" s="59" t="str">
        <x:v>本行为房间围护/表面工程预算；机电系统、末端过滤监测和工艺设备按独立CAPEX行计价，正式RFQ需提供分项工程量清单</x:v>
      </x:c>
    </x:row>
    <x:row r="9">
      <x:c r="A9" t="str">
        <x:v>CAPEX-004</x:v>
      </x:c>
      <x:c r="B9" t="str">
        <x:v>厂房与洁净工程</x:v>
      </x:c>
      <x:c r="C9" t="str">
        <x:v>ISO7</x:v>
      </x:c>
      <x:c r="D9" t="str">
        <x:v>黄光CD-probe ISO7配制间</x:v>
      </x:c>
      <x:c r="E9" t="str">
        <x:v>仅含黄光CD-probe房间洁净围护、洁净表面、门窗和固定收口；不含HVAC、HEPA/压差监测及黄光照明系统</x:v>
      </x:c>
      <x:c r="F9" t="str">
        <x:v>m2</x:v>
      </x:c>
      <x:c r="G9" s="49" t="n">
        <x:v>80</x:v>
      </x:c>
      <x:c r="H9" s="49" t="n">
        <x:v>120</x:v>
      </x:c>
      <x:c r="I9" s="49" t="n">
        <x:v>150</x:v>
      </x:c>
      <x:c r="J9" s="50" t="n">
        <x:f>IF('02_假设与情景'!$B$5="S1",G9,IF('02_假设与情景'!$B$5="S2",H9,I9))</x:f>
        <x:v>120</x:v>
      </x:c>
      <x:c r="K9" s="56" t="n">
        <x:v>1800</x:v>
      </x:c>
      <x:c r="L9" s="29" t="str">
        <x:v>CNY</x:v>
      </x:c>
      <x:c r="M9" s="29" t="str">
        <x:v>原始来源税态未统一披露；模型按含税到厂预算口径归一化，正式询价复核</x:v>
      </x:c>
      <x:c r="N9" s="29"/>
      <x:c r="O9" s="29"/>
      <x:c r="P9" s="57" t="n">
        <x:v>1800</x:v>
      </x:c>
      <x:c r="Q9" s="57" t="n">
        <x:v>1729.1066</x:v>
      </x:c>
      <x:c r="R9" s="57" t="n">
        <x:v>1778.9163</x:v>
      </x:c>
      <x:c r="S9" s="57" t="n">
        <x:v>1300</x:v>
      </x:c>
      <x:c r="T9" s="57" t="n">
        <x:v>2800</x:v>
      </x:c>
      <x:c r="U9" s="52" t="n">
        <x:f>ROUND(J9*P9,2)</x:f>
        <x:v>216000</x:v>
      </x:c>
      <x:c r="V9" s="52" t="n">
        <x:f>ROUND(J9*S9,2)</x:f>
        <x:v>156000</x:v>
      </x:c>
      <x:c r="W9" s="52" t="n">
        <x:f>ROUND(J9*T9,2)</x:f>
        <x:v>336000</x:v>
      </x:c>
      <x:c r="X9" s="53" t="n">
        <x:v>4</x:v>
      </x:c>
      <x:c r="Y9" s="59" t="str">
        <x:v>SRC-018, SRC-009, SRC-010, SRC-011</x:v>
      </x:c>
      <x:c r="Z9" s="59" t="str">
        <x:v>公开价格锚点；正式采购仍需同规格、同税费和服务范围询价</x:v>
      </x:c>
      <x:c r="AA9" s="59" t="str">
        <x:v>厂房布局/黄光避光配制间</x:v>
      </x:c>
      <x:c r="AB9" s="59" t="str">
        <x:v>本行为房间围护/表面工程预算；机电系统、末端过滤监测和工艺设备按独立CAPEX行计价，正式RFQ需提供分项工程量清单</x:v>
      </x:c>
    </x:row>
    <x:row r="10">
      <x:c r="A10" t="str">
        <x:v>CAPEX-005</x:v>
      </x:c>
      <x:c r="B10" t="str">
        <x:v>厂房与洁净工程</x:v>
      </x:c>
      <x:c r="C10" t="str">
        <x:v>ISO7负压</x:v>
      </x:c>
      <x:c r="D10" t="str">
        <x:v>质粒对照负压配制间</x:v>
      </x:c>
      <x:c r="E10" t="str">
        <x:v>仅含质粒房间洁净围护、洁净表面、门窗和固定收口；不含独立负压排风、HVAC及HEPA/压差监测</x:v>
      </x:c>
      <x:c r="F10" t="str">
        <x:v>m2</x:v>
      </x:c>
      <x:c r="G10" s="49" t="n">
        <x:v>50</x:v>
      </x:c>
      <x:c r="H10" s="49" t="n">
        <x:v>70</x:v>
      </x:c>
      <x:c r="I10" s="49" t="n">
        <x:v>90</x:v>
      </x:c>
      <x:c r="J10" s="50" t="n">
        <x:f>IF('02_假设与情景'!$B$5="S1",G10,IF('02_假设与情景'!$B$5="S2",H10,I10))</x:f>
        <x:v>70</x:v>
      </x:c>
      <x:c r="K10" s="56" t="n">
        <x:v>2200</x:v>
      </x:c>
      <x:c r="L10" s="29" t="str">
        <x:v>CNY</x:v>
      </x:c>
      <x:c r="M10" s="29" t="str">
        <x:v>原始来源税态未统一披露；模型按含税到厂预算口径归一化，正式询价复核</x:v>
      </x:c>
      <x:c r="N10" s="29"/>
      <x:c r="O10" s="29"/>
      <x:c r="P10" s="57" t="n">
        <x:v>2200</x:v>
      </x:c>
      <x:c r="Q10" s="57" t="n">
        <x:v>2113.3525</x:v>
      </x:c>
      <x:c r="R10" s="57" t="n">
        <x:v>2174.231</x:v>
      </x:c>
      <x:c r="S10" s="57" t="n">
        <x:v>1500</x:v>
      </x:c>
      <x:c r="T10" s="57" t="n">
        <x:v>3500</x:v>
      </x:c>
      <x:c r="U10" s="52" t="n">
        <x:f>ROUND(J10*P10,2)</x:f>
        <x:v>154000</x:v>
      </x:c>
      <x:c r="V10" s="52" t="n">
        <x:f>ROUND(J10*S10,2)</x:f>
        <x:v>105000</x:v>
      </x:c>
      <x:c r="W10" s="52" t="n">
        <x:f>ROUND(J10*T10,2)</x:f>
        <x:v>245000</x:v>
      </x:c>
      <x:c r="X10" s="53" t="n">
        <x:v>4</x:v>
      </x:c>
      <x:c r="Y10" s="59" t="str">
        <x:v>SRC-018, SRC-009, SRC-010, SRC-011</x:v>
      </x:c>
      <x:c r="Z10" s="59" t="str">
        <x:v>公开价格锚点；正式采购仍需同规格、同税费和服务范围询价</x:v>
      </x:c>
      <x:c r="AA10" s="59" t="str">
        <x:v>厂房布局/质粒对照负压配制间</x:v>
      </x:c>
      <x:c r="AB10" s="59" t="str">
        <x:v>本行为房间围护/表面工程预算；机电系统、末端过滤监测和工艺设备按独立CAPEX行计价，正式RFQ需提供分项工程量清单</x:v>
      </x:c>
    </x:row>
    <x:row r="11">
      <x:c r="A11" t="str">
        <x:v>CAPEX-006</x:v>
      </x:c>
      <x:c r="B11" t="str">
        <x:v>厂房与洁净工程</x:v>
      </x:c>
      <x:c r="C11" t="str">
        <x:v>ISO7</x:v>
      </x:c>
      <x:c r="D11" t="str">
        <x:v>独立分装洁净区</x:v>
      </x:c>
      <x:c r="E11" t="str">
        <x:v>仅含分装区洁净围护、洁净表面、门窗和固定收口；不含HVAC、HEPA/压差监测及分装设备</x:v>
      </x:c>
      <x:c r="F11" t="str">
        <x:v>m2</x:v>
      </x:c>
      <x:c r="G11" s="49" t="n">
        <x:v>100</x:v>
      </x:c>
      <x:c r="H11" s="49" t="n">
        <x:v>150</x:v>
      </x:c>
      <x:c r="I11" s="49" t="n">
        <x:v>200</x:v>
      </x:c>
      <x:c r="J11" s="50" t="n">
        <x:f>IF('02_假设与情景'!$B$5="S1",G11,IF('02_假设与情景'!$B$5="S2",H11,I11))</x:f>
        <x:v>150</x:v>
      </x:c>
      <x:c r="K11" s="56" t="n">
        <x:v>1800</x:v>
      </x:c>
      <x:c r="L11" s="29" t="str">
        <x:v>CNY</x:v>
      </x:c>
      <x:c r="M11" s="29" t="str">
        <x:v>原始来源税态未统一披露；模型按含税到厂预算口径归一化，正式询价复核</x:v>
      </x:c>
      <x:c r="N11" s="29"/>
      <x:c r="O11" s="29"/>
      <x:c r="P11" s="57" t="n">
        <x:v>1800</x:v>
      </x:c>
      <x:c r="Q11" s="57" t="n">
        <x:v>1729.1066</x:v>
      </x:c>
      <x:c r="R11" s="57" t="n">
        <x:v>1778.9163</x:v>
      </x:c>
      <x:c r="S11" s="57" t="n">
        <x:v>1200</x:v>
      </x:c>
      <x:c r="T11" s="57" t="n">
        <x:v>2800</x:v>
      </x:c>
      <x:c r="U11" s="52" t="n">
        <x:f>ROUND(J11*P11,2)</x:f>
        <x:v>270000</x:v>
      </x:c>
      <x:c r="V11" s="52" t="n">
        <x:f>ROUND(J11*S11,2)</x:f>
        <x:v>180000</x:v>
      </x:c>
      <x:c r="W11" s="52" t="n">
        <x:f>ROUND(J11*T11,2)</x:f>
        <x:v>420000</x:v>
      </x:c>
      <x:c r="X11" s="53" t="n">
        <x:v>4</x:v>
      </x:c>
      <x:c r="Y11" s="59" t="str">
        <x:v>SRC-018, SRC-009, SRC-010, SRC-011</x:v>
      </x:c>
      <x:c r="Z11" s="59" t="str">
        <x:v>公开价格锚点；正式采购仍需同规格、同税费和服务范围询价</x:v>
      </x:c>
      <x:c r="AA11" s="59" t="str">
        <x:v>ISO7洁净区/三套独立分装设备</x:v>
      </x:c>
      <x:c r="AB11" s="59" t="str">
        <x:v>本行为房间围护/表面工程预算；机电系统、末端过滤监测和工艺设备按独立CAPEX行计价，正式RFQ需提供分项工程量清单</x:v>
      </x:c>
    </x:row>
    <x:row r="12">
      <x:c r="A12" t="str">
        <x:v>CAPEX-007</x:v>
      </x:c>
      <x:c r="B12" t="str">
        <x:v>厂房与洁净工程</x:v>
      </x:c>
      <x:c r="C12" t="str">
        <x:v>ISO8</x:v>
      </x:c>
      <x:c r="D12" t="str">
        <x:v>试剂盒组装包装区</x:v>
      </x:c>
      <x:c r="E12" t="str">
        <x:v>仅含ISO8组装包装区围护、洁净表面、门窗和固定收口；不含HVAC、HEPA/压差监测及包装设备</x:v>
      </x:c>
      <x:c r="F12" t="str">
        <x:v>m2</x:v>
      </x:c>
      <x:c r="G12" s="49" t="n">
        <x:v>120</x:v>
      </x:c>
      <x:c r="H12" s="49" t="n">
        <x:v>180</x:v>
      </x:c>
      <x:c r="I12" s="49" t="n">
        <x:v>250</x:v>
      </x:c>
      <x:c r="J12" s="50" t="n">
        <x:f>IF('02_假设与情景'!$B$5="S1",G12,IF('02_假设与情景'!$B$5="S2",H12,I12))</x:f>
        <x:v>180</x:v>
      </x:c>
      <x:c r="K12" s="56" t="n">
        <x:v>1400</x:v>
      </x:c>
      <x:c r="L12" s="29" t="str">
        <x:v>CNY</x:v>
      </x:c>
      <x:c r="M12" s="29" t="str">
        <x:v>原始来源税态未统一披露；模型按含税到厂预算口径归一化，正式询价复核</x:v>
      </x:c>
      <x:c r="N12" s="29"/>
      <x:c r="O12" s="29"/>
      <x:c r="P12" s="57" t="n">
        <x:v>1400</x:v>
      </x:c>
      <x:c r="Q12" s="57" t="n">
        <x:v>1344.8607</x:v>
      </x:c>
      <x:c r="R12" s="57" t="n">
        <x:v>1383.6015</x:v>
      </x:c>
      <x:c r="S12" s="57" t="n">
        <x:v>1000</x:v>
      </x:c>
      <x:c r="T12" s="57" t="n">
        <x:v>1800</x:v>
      </x:c>
      <x:c r="U12" s="52" t="n">
        <x:f>ROUND(J12*P12,2)</x:f>
        <x:v>252000</x:v>
      </x:c>
      <x:c r="V12" s="52" t="n">
        <x:f>ROUND(J12*S12,2)</x:f>
        <x:v>180000</x:v>
      </x:c>
      <x:c r="W12" s="52" t="n">
        <x:f>ROUND(J12*T12,2)</x:f>
        <x:v>324000</x:v>
      </x:c>
      <x:c r="X12" s="53" t="n">
        <x:v>4</x:v>
      </x:c>
      <x:c r="Y12" s="59" t="str">
        <x:v>SRC-017, SRC-009, SRC-010, SRC-011</x:v>
      </x:c>
      <x:c r="Z12" s="59" t="str">
        <x:v>公开价格锚点；正式采购仍需同规格、同税费和服务范围询价</x:v>
      </x:c>
      <x:c r="AA12" s="59" t="str">
        <x:v>厂房布局/ISO8包装区</x:v>
      </x:c>
      <x:c r="AB12" s="59" t="str">
        <x:v>本行为房间围护/表面工程预算；机电系统、末端过滤监测和工艺设备按独立CAPEX行计价，正式RFQ需提供分项工程量清单</x:v>
      </x:c>
    </x:row>
    <x:row r="13">
      <x:c r="A13" t="str">
        <x:v>CAPEX-008</x:v>
      </x:c>
      <x:c r="B13" t="str">
        <x:v>厂房与洁净工程</x:v>
      </x:c>
      <x:c r="C13" t="str">
        <x:v>检验区</x:v>
      </x:c>
      <x:c r="D13" t="str">
        <x:v>独立检验实验室改造</x:v>
      </x:c>
      <x:c r="E13" t="str">
        <x:v>仅含检验实验室分区、台面接口和受控表面改造；不含洁净HVAC、HEPA/压差监测及检验仪器</x:v>
      </x:c>
      <x:c r="F13" t="str">
        <x:v>m2</x:v>
      </x:c>
      <x:c r="G13" s="49" t="n">
        <x:v>120</x:v>
      </x:c>
      <x:c r="H13" s="49" t="n">
        <x:v>160</x:v>
      </x:c>
      <x:c r="I13" s="49" t="n">
        <x:v>200</x:v>
      </x:c>
      <x:c r="J13" s="50" t="n">
        <x:f>IF('02_假设与情景'!$B$5="S1",G13,IF('02_假设与情景'!$B$5="S2",H13,I13))</x:f>
        <x:v>160</x:v>
      </x:c>
      <x:c r="K13" s="56" t="n">
        <x:v>1200</x:v>
      </x:c>
      <x:c r="L13" s="29" t="str">
        <x:v>CNY</x:v>
      </x:c>
      <x:c r="M13" s="29" t="str">
        <x:v>原始来源税态未统一披露；模型按含税到厂预算口径归一化，正式询价复核</x:v>
      </x:c>
      <x:c r="N13" s="29"/>
      <x:c r="O13" s="29"/>
      <x:c r="P13" s="57" t="n">
        <x:v>1200</x:v>
      </x:c>
      <x:c r="Q13" s="57" t="n">
        <x:v>1152.7378</x:v>
      </x:c>
      <x:c r="R13" s="57" t="n">
        <x:v>1185.9442</x:v>
      </x:c>
      <x:c r="S13" s="57" t="n">
        <x:v>700</x:v>
      </x:c>
      <x:c r="T13" s="57" t="n">
        <x:v>2000</x:v>
      </x:c>
      <x:c r="U13" s="52" t="n">
        <x:f>ROUND(J13*P13,2)</x:f>
        <x:v>192000</x:v>
      </x:c>
      <x:c r="V13" s="52" t="n">
        <x:f>ROUND(J13*S13,2)</x:f>
        <x:v>112000</x:v>
      </x:c>
      <x:c r="W13" s="52" t="n">
        <x:f>ROUND(J13*T13,2)</x:f>
        <x:v>320000</x:v>
      </x:c>
      <x:c r="X13" s="53" t="n">
        <x:v>3</x:v>
      </x:c>
      <x:c r="Y13" s="59" t="str">
        <x:v>SRC-031, SRC-009, SRC-010, SRC-011</x:v>
      </x:c>
      <x:c r="Z13" s="59" t="str">
        <x:v>需正式询价；当前值仅作预算占位或低可信市场锚点</x:v>
      </x:c>
      <x:c r="AA13" s="59" t="str">
        <x:v>厂房布局/检验实验室</x:v>
      </x:c>
      <x:c r="AB13" s="59" t="str">
        <x:v>本行为房间围护/表面工程预算；机电系统、末端过滤监测和工艺设备按独立CAPEX行计价，正式RFQ需提供分项工程量清单</x:v>
      </x:c>
    </x:row>
    <x:row r="14">
      <x:c r="A14" t="str">
        <x:v>CAPEX-009</x:v>
      </x:c>
      <x:c r="B14" t="str">
        <x:v>厂房与洁净工程</x:v>
      </x:c>
      <x:c r="C14" t="str">
        <x:v>辅助区</x:v>
      </x:c>
      <x:c r="D14" t="str">
        <x:v>更衣、缓冲、物流与留样区</x:v>
      </x:c>
      <x:c r="E14" t="str">
        <x:v>仅含更衣、缓冲、物流、留样及辅助区的分隔和受控表面；不含HVAC、HEPA/压差监测及仓储设备</x:v>
      </x:c>
      <x:c r="F14" t="str">
        <x:v>m2</x:v>
      </x:c>
      <x:c r="G14" s="49" t="n">
        <x:v>230</x:v>
      </x:c>
      <x:c r="H14" s="49" t="n">
        <x:v>180</x:v>
      </x:c>
      <x:c r="I14" s="49" t="n">
        <x:v>130</x:v>
      </x:c>
      <x:c r="J14" s="50" t="n">
        <x:f>IF('02_假设与情景'!$B$5="S1",G14,IF('02_假设与情景'!$B$5="S2",H14,I14))</x:f>
        <x:v>180</x:v>
      </x:c>
      <x:c r="K14" s="56" t="n">
        <x:v>900</x:v>
      </x:c>
      <x:c r="L14" s="29" t="str">
        <x:v>CNY</x:v>
      </x:c>
      <x:c r="M14" s="29" t="str">
        <x:v>原始来源税态未统一披露；模型按含税到厂预算口径归一化，正式询价复核</x:v>
      </x:c>
      <x:c r="N14" s="29"/>
      <x:c r="O14" s="29"/>
      <x:c r="P14" s="57" t="n">
        <x:v>900</x:v>
      </x:c>
      <x:c r="Q14" s="57" t="n">
        <x:v>864.5533</x:v>
      </x:c>
      <x:c r="R14" s="57" t="n">
        <x:v>889.4581</x:v>
      </x:c>
      <x:c r="S14" s="57" t="n">
        <x:v>500</x:v>
      </x:c>
      <x:c r="T14" s="57" t="n">
        <x:v>1500</x:v>
      </x:c>
      <x:c r="U14" s="52" t="n">
        <x:f>ROUND(J14*P14,2)</x:f>
        <x:v>162000</x:v>
      </x:c>
      <x:c r="V14" s="52" t="n">
        <x:f>ROUND(J14*S14,2)</x:f>
        <x:v>90000</x:v>
      </x:c>
      <x:c r="W14" s="52" t="n">
        <x:f>ROUND(J14*T14,2)</x:f>
        <x:v>270000</x:v>
      </x:c>
      <x:c r="X14" s="53" t="n">
        <x:v>3</x:v>
      </x:c>
      <x:c r="Y14" s="59" t="str">
        <x:v>SRC-031, SRC-009, SRC-010, SRC-011</x:v>
      </x:c>
      <x:c r="Z14" s="59" t="str">
        <x:v>需正式询价；当前值仅作预算占位或低可信市场锚点</x:v>
      </x:c>
      <x:c r="AA14" s="59" t="str">
        <x:v>办公、研发、留样室</x:v>
      </x:c>
      <x:c r="AB14" s="59" t="str">
        <x:v>本行为房间围护/表面工程预算；机电系统、末端过滤监测和工艺设备按独立CAPEX行计价，正式RFQ需提供分项工程量清单</x:v>
      </x:c>
    </x:row>
    <x:row r="15">
      <x:c r="A15" t="str">
        <x:v>CAPEX-010</x:v>
      </x:c>
      <x:c r="B15" t="str">
        <x:v>公用工程</x:v>
      </x:c>
      <x:c r="C15" t="str">
        <x:v>洁净空调</x:v>
      </x:c>
      <x:c r="D15" t="str">
        <x:v>洁净HVAC系统</x:v>
      </x:c>
      <x:c r="E15" t="str">
        <x:v>仅含洁净新风/回风、温湿度、换气、风管和控制系统；不含房间围护、HEPA末端、压差/粒子监测及质粒间独立排风</x:v>
      </x:c>
      <x:c r="F15" t="str">
        <x:v>m2服务面积</x:v>
      </x:c>
      <x:c r="G15" s="49" t="n">
        <x:v>450</x:v>
      </x:c>
      <x:c r="H15" s="49" t="n">
        <x:v>660</x:v>
      </x:c>
      <x:c r="I15" s="49" t="n">
        <x:v>870</x:v>
      </x:c>
      <x:c r="J15" s="50" t="n">
        <x:f>IF('02_假设与情景'!$B$5="S1",G15,IF('02_假设与情景'!$B$5="S2",H15,I15))</x:f>
        <x:v>660</x:v>
      </x:c>
      <x:c r="K15" s="56" t="n">
        <x:v>1800</x:v>
      </x:c>
      <x:c r="L15" s="29" t="str">
        <x:v>CNY</x:v>
      </x:c>
      <x:c r="M15" s="29" t="str">
        <x:v>原始来源税态未统一披露；模型按含税到厂预算口径归一化，正式询价复核</x:v>
      </x:c>
      <x:c r="N15" s="29"/>
      <x:c r="O15" s="29"/>
      <x:c r="P15" s="57" t="n">
        <x:v>1800</x:v>
      </x:c>
      <x:c r="Q15" s="57" t="n">
        <x:v>1729.1066</x:v>
      </x:c>
      <x:c r="R15" s="57" t="n">
        <x:v>1778.9163</x:v>
      </x:c>
      <x:c r="S15" s="57" t="n">
        <x:v>1200</x:v>
      </x:c>
      <x:c r="T15" s="57" t="n">
        <x:v>2800</x:v>
      </x:c>
      <x:c r="U15" s="52" t="n">
        <x:f>ROUND(J15*P15,2)</x:f>
        <x:v>1188000</x:v>
      </x:c>
      <x:c r="V15" s="52" t="n">
        <x:f>ROUND(J15*S15,2)</x:f>
        <x:v>792000</x:v>
      </x:c>
      <x:c r="W15" s="52" t="n">
        <x:f>ROUND(J15*T15,2)</x:f>
        <x:v>1848000</x:v>
      </x:c>
      <x:c r="X15" s="53" t="n">
        <x:v>4</x:v>
      </x:c>
      <x:c r="Y15" s="59" t="str">
        <x:v>SRC-017, SRC-018, SRC-009, SRC-010, SRC-011</x:v>
      </x:c>
      <x:c r="Z15" s="59" t="str">
        <x:v>公开价格锚点；正式采购仍需同规格、同税费和服务范围询价</x:v>
      </x:c>
      <x:c r="AA15" s="59" t="str">
        <x:v>选址要求/洁净空调风管</x:v>
      </x:c>
      <x:c r="AB15" s="59" t="str">
        <x:v>与CAPEX-003至009的围护工程、CAPEX-011的HEPA/环境监测、CAPEX-012的质粒间独立负压排风分开计价</x:v>
      </x:c>
    </x:row>
    <x:row r="16">
      <x:c r="A16" t="str">
        <x:v>CAPEX-011</x:v>
      </x:c>
      <x:c r="B16" t="str">
        <x:v>公用工程</x:v>
      </x:c>
      <x:c r="C16" t="str">
        <x:v>过滤监测</x:v>
      </x:c>
      <x:c r="D16" t="str">
        <x:v>HEPA及压差环境监测</x:v>
      </x:c>
      <x:c r="E16" t="str">
        <x:v>末端高效过滤、压差和粒子监测</x:v>
      </x:c>
      <x:c r="F16" t="str">
        <x:v>套</x:v>
      </x:c>
      <x:c r="G16" s="49" t="n">
        <x:v>1</x:v>
      </x:c>
      <x:c r="H16" s="49" t="n">
        <x:v>1</x:v>
      </x:c>
      <x:c r="I16" s="49" t="n">
        <x:v>2</x:v>
      </x:c>
      <x:c r="J16" s="50" t="n">
        <x:f>IF('02_假设与情景'!$B$5="S1",G16,IF('02_假设与情景'!$B$5="S2",H16,I16))</x:f>
        <x:v>1</x:v>
      </x:c>
      <x:c r="K16" s="56" t="n">
        <x:v>350000</x:v>
      </x:c>
      <x:c r="L16" s="29" t="str">
        <x:v>CNY</x:v>
      </x:c>
      <x:c r="M16" s="29" t="str">
        <x:v>原始来源税态未统一披露；模型按含税到厂预算口径归一化，正式询价复核</x:v>
      </x:c>
      <x:c r="N16" s="29"/>
      <x:c r="O16" s="29"/>
      <x:c r="P16" s="57" t="n">
        <x:v>350000</x:v>
      </x:c>
      <x:c r="Q16" s="57" t="n">
        <x:v>336215.1777</x:v>
      </x:c>
      <x:c r="R16" s="57" t="n">
        <x:v>345900.3886</x:v>
      </x:c>
      <x:c r="S16" s="57" t="n">
        <x:v>220000</x:v>
      </x:c>
      <x:c r="T16" s="57" t="n">
        <x:v>650000</x:v>
      </x:c>
      <x:c r="U16" s="52" t="n">
        <x:f>ROUND(J16*P16,2)</x:f>
        <x:v>350000</x:v>
      </x:c>
      <x:c r="V16" s="52" t="n">
        <x:f>ROUND(J16*S16,2)</x:f>
        <x:v>220000</x:v>
      </x:c>
      <x:c r="W16" s="52" t="n">
        <x:f>ROUND(J16*T16,2)</x:f>
        <x:v>650000</x:v>
      </x:c>
      <x:c r="X16" s="53" t="n">
        <x:v>3</x:v>
      </x:c>
      <x:c r="Y16" s="59" t="str">
        <x:v>SRC-031, SRC-009, SRC-010, SRC-011</x:v>
      </x:c>
      <x:c r="Z16" s="59" t="str">
        <x:v>需正式询价；当前值仅作预算占位或低可信市场锚点</x:v>
      </x:c>
      <x:c r="AA16" s="59" t="str">
        <x:v>减少高效过滤器损耗/含尘含菌控制</x:v>
      </x:c>
      <x:c r="AB1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7">
      <x:c r="A17" t="str">
        <x:v>CAPEX-012</x:v>
      </x:c>
      <x:c r="B17" t="str">
        <x:v>公用工程</x:v>
      </x:c>
      <x:c r="C17" t="str">
        <x:v>负压排风</x:v>
      </x:c>
      <x:c r="D17" t="str">
        <x:v>质粒间独立负压排风系统</x:v>
      </x:c>
      <x:c r="E17" t="str">
        <x:v>含风机、过滤、管道和联锁</x:v>
      </x:c>
      <x:c r="F17" t="str">
        <x:v>套</x:v>
      </x:c>
      <x:c r="G17" s="49" t="n">
        <x:v>1</x:v>
      </x:c>
      <x:c r="H17" s="49" t="n">
        <x:v>1</x:v>
      </x:c>
      <x:c r="I17" s="49" t="n">
        <x:v>1</x:v>
      </x:c>
      <x:c r="J17" s="50" t="n">
        <x:f>IF('02_假设与情景'!$B$5="S1",G17,IF('02_假设与情景'!$B$5="S2",H17,I17))</x:f>
        <x:v>1</x:v>
      </x:c>
      <x:c r="K17" s="56" t="n">
        <x:v>250000</x:v>
      </x:c>
      <x:c r="L17" s="29" t="str">
        <x:v>CNY</x:v>
      </x:c>
      <x:c r="M17" s="29" t="str">
        <x:v>原始来源税态未统一披露；模型按含税到厂预算口径归一化，正式询价复核</x:v>
      </x:c>
      <x:c r="N17" s="29"/>
      <x:c r="O17" s="29"/>
      <x:c r="P17" s="57" t="n">
        <x:v>250000</x:v>
      </x:c>
      <x:c r="Q17" s="57" t="n">
        <x:v>240153.6984</x:v>
      </x:c>
      <x:c r="R17" s="57" t="n">
        <x:v>247071.7062</x:v>
      </x:c>
      <x:c r="S17" s="57" t="n">
        <x:v>150000</x:v>
      </x:c>
      <x:c r="T17" s="57" t="n">
        <x:v>500000</x:v>
      </x:c>
      <x:c r="U17" s="52" t="n">
        <x:f>ROUND(J17*P17,2)</x:f>
        <x:v>250000</x:v>
      </x:c>
      <x:c r="V17" s="52" t="n">
        <x:f>ROUND(J17*S17,2)</x:f>
        <x:v>150000</x:v>
      </x:c>
      <x:c r="W17" s="52" t="n">
        <x:f>ROUND(J17*T17,2)</x:f>
        <x:v>500000</x:v>
      </x:c>
      <x:c r="X17" s="53" t="n">
        <x:v>3</x:v>
      </x:c>
      <x:c r="Y17" s="59" t="str">
        <x:v>SRC-031, SRC-009, SRC-010, SRC-011</x:v>
      </x:c>
      <x:c r="Z17" s="59" t="str">
        <x:v>需正式询价；当前值仅作预算占位或低可信市场锚点</x:v>
      </x:c>
      <x:c r="AA17" s="59" t="str">
        <x:v>质粒负压房间独立排风</x:v>
      </x:c>
      <x:c r="AB1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8">
      <x:c r="A18" t="str">
        <x:v>CAPEX-013</x:v>
      </x:c>
      <x:c r="B18" t="str">
        <x:v>公用工程</x:v>
      </x:c>
      <x:c r="C18" t="str">
        <x:v>照明</x:v>
      </x:c>
      <x:c r="D18" t="str">
        <x:v>黄光避光照明系统</x:v>
      </x:c>
      <x:c r="E18" t="str">
        <x:v>CD-probe配制与暂存区域</x:v>
      </x:c>
      <x:c r="F18" t="str">
        <x:v>套</x:v>
      </x:c>
      <x:c r="G18" s="49" t="n">
        <x:v>1</x:v>
      </x:c>
      <x:c r="H18" s="49" t="n">
        <x:v>1</x:v>
      </x:c>
      <x:c r="I18" s="49" t="n">
        <x:v>2</x:v>
      </x:c>
      <x:c r="J18" s="50" t="n">
        <x:f>IF('02_假设与情景'!$B$5="S1",G18,IF('02_假设与情景'!$B$5="S2",H18,I18))</x:f>
        <x:v>1</x:v>
      </x:c>
      <x:c r="K18" s="56" t="n">
        <x:v>50000</x:v>
      </x:c>
      <x:c r="L18" s="29" t="str">
        <x:v>CNY</x:v>
      </x:c>
      <x:c r="M18" s="29" t="str">
        <x:v>原始来源税态未统一披露；模型按含税到厂预算口径归一化，正式询价复核</x:v>
      </x:c>
      <x:c r="N18" s="29"/>
      <x:c r="O18" s="29"/>
      <x:c r="P18" s="57" t="n">
        <x:v>50000</x:v>
      </x:c>
      <x:c r="Q18" s="57" t="n">
        <x:v>48030.7397</x:v>
      </x:c>
      <x:c r="R18" s="57" t="n">
        <x:v>49414.3413</x:v>
      </x:c>
      <x:c r="S18" s="57" t="n">
        <x:v>25000</x:v>
      </x:c>
      <x:c r="T18" s="57" t="n">
        <x:v>100000</x:v>
      </x:c>
      <x:c r="U18" s="52" t="n">
        <x:f>ROUND(J18*P18,2)</x:f>
        <x:v>50000</x:v>
      </x:c>
      <x:c r="V18" s="52" t="n">
        <x:f>ROUND(J18*S18,2)</x:f>
        <x:v>25000</x:v>
      </x:c>
      <x:c r="W18" s="52" t="n">
        <x:f>ROUND(J18*T18,2)</x:f>
        <x:v>100000</x:v>
      </x:c>
      <x:c r="X18" s="53" t="n">
        <x:v>3</x:v>
      </x:c>
      <x:c r="Y18" s="59" t="str">
        <x:v>SRC-031, SRC-009, SRC-010, SRC-011</x:v>
      </x:c>
      <x:c r="Z18" s="59" t="str">
        <x:v>需正式询价；当前值仅作预算占位或低可信市场锚点</x:v>
      </x:c>
      <x:c r="AA18" s="59" t="str">
        <x:v>CD催化预混液配制/黄色照明</x:v>
      </x:c>
      <x:c r="AB1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9">
      <x:c r="A19" t="str">
        <x:v>CAPEX-014</x:v>
      </x:c>
      <x:c r="B19" t="str">
        <x:v>公用工程</x:v>
      </x:c>
      <x:c r="C19" t="str">
        <x:v>纯化水</x:v>
      </x:c>
      <x:c r="D19" t="str">
        <x:v>实验/工艺纯化水设备及管路</x:v>
      </x:c>
      <x:c r="E19" t="str">
        <x:v>制水、储罐、循环或点供</x:v>
      </x:c>
      <x:c r="F19" t="str">
        <x:v>套</x:v>
      </x:c>
      <x:c r="G19" s="49" t="n">
        <x:v>1</x:v>
      </x:c>
      <x:c r="H19" s="49" t="n">
        <x:v>1</x:v>
      </x:c>
      <x:c r="I19" s="49" t="n">
        <x:v>1</x:v>
      </x:c>
      <x:c r="J19" s="50" t="n">
        <x:f>IF('02_假设与情景'!$B$5="S1",G19,IF('02_假设与情景'!$B$5="S2",H19,I19))</x:f>
        <x:v>1</x:v>
      </x:c>
      <x:c r="K19" s="56" t="n">
        <x:v>180000</x:v>
      </x:c>
      <x:c r="L19" s="29" t="str">
        <x:v>CNY</x:v>
      </x:c>
      <x:c r="M19" s="29" t="str">
        <x:v>原始来源税态未统一披露；模型按含税到厂预算口径归一化，正式询价复核</x:v>
      </x:c>
      <x:c r="N19" s="29"/>
      <x:c r="O19" s="29"/>
      <x:c r="P19" s="57" t="n">
        <x:v>180000</x:v>
      </x:c>
      <x:c r="Q19" s="57" t="n">
        <x:v>172910.6628</x:v>
      </x:c>
      <x:c r="R19" s="57" t="n">
        <x:v>177891.6284</x:v>
      </x:c>
      <x:c r="S19" s="57" t="n">
        <x:v>80000</x:v>
      </x:c>
      <x:c r="T19" s="57" t="n">
        <x:v>350000</x:v>
      </x:c>
      <x:c r="U19" s="52" t="n">
        <x:f>ROUND(J19*P19,2)</x:f>
        <x:v>180000</x:v>
      </x:c>
      <x:c r="V19" s="52" t="n">
        <x:f>ROUND(J19*S19,2)</x:f>
        <x:v>80000</x:v>
      </x:c>
      <x:c r="W19" s="52" t="n">
        <x:f>ROUND(J19*T19,2)</x:f>
        <x:v>350000</x:v>
      </x:c>
      <x:c r="X19" s="53" t="n">
        <x:v>3</x:v>
      </x:c>
      <x:c r="Y19" s="59" t="str">
        <x:v>SRC-026, SRC-009, SRC-010, SRC-011</x:v>
      </x:c>
      <x:c r="Z19" s="59" t="str">
        <x:v>需正式询价；当前值仅作预算占位或低可信市场锚点</x:v>
      </x:c>
      <x:c r="AA19" s="59" t="str">
        <x:v>市政自来水/支持纯化水设备</x:v>
      </x:c>
      <x:c r="AB1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0">
      <x:c r="A20" t="str">
        <x:v>CAPEX-015</x:v>
      </x:c>
      <x:c r="B20" t="str">
        <x:v>公用工程</x:v>
      </x:c>
      <x:c r="C20" t="str">
        <x:v>污水</x:v>
      </x:c>
      <x:c r="D20" t="str">
        <x:v>工业污水预处理设施</x:v>
      </x:c>
      <x:c r="E20" t="str">
        <x:v>含质粒和生化废液收集接口</x:v>
      </x:c>
      <x:c r="F20" t="str">
        <x:v>套</x:v>
      </x:c>
      <x:c r="G20" s="49" t="n">
        <x:v>1</x:v>
      </x:c>
      <x:c r="H20" s="49" t="n">
        <x:v>1</x:v>
      </x:c>
      <x:c r="I20" s="49" t="n">
        <x:v>1</x:v>
      </x:c>
      <x:c r="J20" s="50" t="n">
        <x:f>IF('02_假设与情景'!$B$5="S1",G20,IF('02_假设与情景'!$B$5="S2",H20,I20))</x:f>
        <x:v>1</x:v>
      </x:c>
      <x:c r="K20" s="56" t="n">
        <x:v>150000</x:v>
      </x:c>
      <x:c r="L20" s="29" t="str">
        <x:v>CNY</x:v>
      </x:c>
      <x:c r="M20" s="29" t="str">
        <x:v>原始来源税态未统一披露；模型按含税到厂预算口径归一化，正式询价复核</x:v>
      </x:c>
      <x:c r="N20" s="29"/>
      <x:c r="O20" s="29"/>
      <x:c r="P20" s="57" t="n">
        <x:v>150000</x:v>
      </x:c>
      <x:c r="Q20" s="57" t="n">
        <x:v>144092.219</x:v>
      </x:c>
      <x:c r="R20" s="57" t="n">
        <x:v>148243.0237</x:v>
      </x:c>
      <x:c r="S20" s="57" t="n">
        <x:v>80000</x:v>
      </x:c>
      <x:c r="T20" s="57" t="n">
        <x:v>400000</x:v>
      </x:c>
      <x:c r="U20" s="52" t="n">
        <x:f>ROUND(J20*P20,2)</x:f>
        <x:v>150000</x:v>
      </x:c>
      <x:c r="V20" s="52" t="n">
        <x:f>ROUND(J20*S20,2)</x:f>
        <x:v>80000</x:v>
      </x:c>
      <x:c r="W20" s="52" t="n">
        <x:f>ROUND(J20*T20,2)</x:f>
        <x:v>400000</x:v>
      </x:c>
      <x:c r="X20" s="53" t="n">
        <x:v>2</x:v>
      </x:c>
      <x:c r="Y20" s="59" t="str">
        <x:v>SRC-031, SRC-009, SRC-010, SRC-011</x:v>
      </x:c>
      <x:c r="Z20" s="59" t="str">
        <x:v>需正式询价；当前值仅作预算占位或低可信市场锚点</x:v>
      </x:c>
      <x:c r="AA20" s="59" t="str">
        <x:v>工业污水预处理管网</x:v>
      </x:c>
      <x:c r="AB2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1">
      <x:c r="A21" t="str">
        <x:v>CAPEX-016</x:v>
      </x:c>
      <x:c r="B21" t="str">
        <x:v>EHS</x:v>
      </x:c>
      <x:c r="C21" t="str">
        <x:v>危废</x:v>
      </x:c>
      <x:c r="D21" t="str">
        <x:v>危废暂存间设施</x:v>
      </x:c>
      <x:c r="E21" t="str">
        <x:v>防渗、通风、分类和台账设施</x:v>
      </x:c>
      <x:c r="F21" t="str">
        <x:v>套</x:v>
      </x:c>
      <x:c r="G21" s="49" t="n">
        <x:v>1</x:v>
      </x:c>
      <x:c r="H21" s="49" t="n">
        <x:v>1</x:v>
      </x:c>
      <x:c r="I21" s="49" t="n">
        <x:v>1</x:v>
      </x:c>
      <x:c r="J21" s="50" t="n">
        <x:f>IF('02_假设与情景'!$B$5="S1",G21,IF('02_假设与情景'!$B$5="S2",H21,I21))</x:f>
        <x:v>1</x:v>
      </x:c>
      <x:c r="K21" s="56" t="n">
        <x:v>50000</x:v>
      </x:c>
      <x:c r="L21" s="29" t="str">
        <x:v>CNY</x:v>
      </x:c>
      <x:c r="M21" s="29" t="str">
        <x:v>原始来源税态未统一披露；模型按含税到厂预算口径归一化，正式询价复核</x:v>
      </x:c>
      <x:c r="N21" s="29"/>
      <x:c r="O21" s="29"/>
      <x:c r="P21" s="57" t="n">
        <x:v>50000</x:v>
      </x:c>
      <x:c r="Q21" s="57" t="n">
        <x:v>48030.7397</x:v>
      </x:c>
      <x:c r="R21" s="57" t="n">
        <x:v>49414.3413</x:v>
      </x:c>
      <x:c r="S21" s="57" t="n">
        <x:v>25000</x:v>
      </x:c>
      <x:c r="T21" s="57" t="n">
        <x:v>120000</x:v>
      </x:c>
      <x:c r="U21" s="52" t="n">
        <x:f>ROUND(J21*P21,2)</x:f>
        <x:v>50000</x:v>
      </x:c>
      <x:c r="V21" s="52" t="n">
        <x:f>ROUND(J21*S21,2)</x:f>
        <x:v>25000</x:v>
      </x:c>
      <x:c r="W21" s="52" t="n">
        <x:f>ROUND(J21*T21,2)</x:f>
        <x:v>120000</x:v>
      </x:c>
      <x:c r="X21" s="53" t="n">
        <x:v>2</x:v>
      </x:c>
      <x:c r="Y21" s="59" t="str">
        <x:v>SRC-031, SRC-009, SRC-010, SRC-011</x:v>
      </x:c>
      <x:c r="Z21" s="59" t="str">
        <x:v>需正式询价；当前值仅作预算占位或低可信市场锚点</x:v>
      </x:c>
      <x:c r="AA21" s="59" t="str">
        <x:v>危废暂存间</x:v>
      </x:c>
      <x:c r="AB2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2">
      <x:c r="A22" t="str">
        <x:v>CAPEX-017</x:v>
      </x:c>
      <x:c r="B22" t="str">
        <x:v>公用工程</x:v>
      </x:c>
      <x:c r="C22" t="str">
        <x:v>供电</x:v>
      </x:c>
      <x:c r="D22" t="str">
        <x:v>双回路配电及动力改造</x:v>
      </x:c>
      <x:c r="E22" t="str">
        <x:v>含配电柜、动力线和切换</x:v>
      </x:c>
      <x:c r="F22" t="str">
        <x:v>套</x:v>
      </x:c>
      <x:c r="G22" s="49" t="n">
        <x:v>1</x:v>
      </x:c>
      <x:c r="H22" s="49" t="n">
        <x:v>1</x:v>
      </x:c>
      <x:c r="I22" s="49" t="n">
        <x:v>1</x:v>
      </x:c>
      <x:c r="J22" s="50" t="n">
        <x:f>IF('02_假设与情景'!$B$5="S1",G22,IF('02_假设与情景'!$B$5="S2",H22,I22))</x:f>
        <x:v>1</x:v>
      </x:c>
      <x:c r="K22" s="56" t="n">
        <x:v>300000</x:v>
      </x:c>
      <x:c r="L22" s="29" t="str">
        <x:v>CNY</x:v>
      </x:c>
      <x:c r="M22" s="29" t="str">
        <x:v>原始来源税态未统一披露；模型按含税到厂预算口径归一化，正式询价复核</x:v>
      </x:c>
      <x:c r="N22" s="29"/>
      <x:c r="O22" s="29"/>
      <x:c r="P22" s="57" t="n">
        <x:v>300000</x:v>
      </x:c>
      <x:c r="Q22" s="57" t="n">
        <x:v>288184.438</x:v>
      </x:c>
      <x:c r="R22" s="57" t="n">
        <x:v>296486.0473</x:v>
      </x:c>
      <x:c r="S22" s="57" t="n">
        <x:v>180000</x:v>
      </x:c>
      <x:c r="T22" s="57" t="n">
        <x:v>600000</x:v>
      </x:c>
      <x:c r="U22" s="52" t="n">
        <x:f>ROUND(J22*P22,2)</x:f>
        <x:v>300000</x:v>
      </x:c>
      <x:c r="V22" s="52" t="n">
        <x:f>ROUND(J22*S22,2)</x:f>
        <x:v>180000</x:v>
      </x:c>
      <x:c r="W22" s="52" t="n">
        <x:f>ROUND(J22*T22,2)</x:f>
        <x:v>600000</x:v>
      </x:c>
      <x:c r="X22" s="53" t="n">
        <x:v>3</x:v>
      </x:c>
      <x:c r="Y22" s="59" t="str">
        <x:v>SRC-031, SRC-009, SRC-010, SRC-011</x:v>
      </x:c>
      <x:c r="Z22" s="59" t="str">
        <x:v>需正式询价；当前值仅作预算占位或低可信市场锚点</x:v>
      </x:c>
      <x:c r="AA22" s="59" t="str">
        <x:v>必须具备双回路市政供电</x:v>
      </x:c>
      <x:c r="AB2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3">
      <x:c r="A23" t="str">
        <x:v>CAPEX-018</x:v>
      </x:c>
      <x:c r="B23" t="str">
        <x:v>公用工程</x:v>
      </x:c>
      <x:c r="C23" t="str">
        <x:v>备用电源</x:v>
      </x:c>
      <x:c r="D23" t="str">
        <x:v>关键仪器与信息系统UPS</x:v>
      </x:c>
      <x:c r="E23" t="str">
        <x:v>冷库监控、MES、仪器短时保障</x:v>
      </x:c>
      <x:c r="F23" t="str">
        <x:v>套</x:v>
      </x:c>
      <x:c r="G23" s="49" t="n">
        <x:v>2</x:v>
      </x:c>
      <x:c r="H23" s="49" t="n">
        <x:v>3</x:v>
      </x:c>
      <x:c r="I23" s="49" t="n">
        <x:v>5</x:v>
      </x:c>
      <x:c r="J23" s="50" t="n">
        <x:f>IF('02_假设与情景'!$B$5="S1",G23,IF('02_假设与情景'!$B$5="S2",H23,I23))</x:f>
        <x:v>3</x:v>
      </x:c>
      <x:c r="K23" s="56" t="n">
        <x:v>50000</x:v>
      </x:c>
      <x:c r="L23" s="29" t="str">
        <x:v>CNY</x:v>
      </x:c>
      <x:c r="M23" s="29" t="str">
        <x:v>原始来源税态未统一披露；模型按含税到厂预算口径归一化，正式询价复核</x:v>
      </x:c>
      <x:c r="N23" s="29"/>
      <x:c r="O23" s="29"/>
      <x:c r="P23" s="57" t="n">
        <x:v>50000</x:v>
      </x:c>
      <x:c r="Q23" s="57" t="n">
        <x:v>48030.7397</x:v>
      </x:c>
      <x:c r="R23" s="57" t="n">
        <x:v>49414.3413</x:v>
      </x:c>
      <x:c r="S23" s="57" t="n">
        <x:v>25000</x:v>
      </x:c>
      <x:c r="T23" s="57" t="n">
        <x:v>120000</x:v>
      </x:c>
      <x:c r="U23" s="52" t="n">
        <x:f>ROUND(J23*P23,2)</x:f>
        <x:v>150000</x:v>
      </x:c>
      <x:c r="V23" s="52" t="n">
        <x:f>ROUND(J23*S23,2)</x:f>
        <x:v>75000</x:v>
      </x:c>
      <x:c r="W23" s="52" t="n">
        <x:f>ROUND(J23*T23,2)</x:f>
        <x:v>360000</x:v>
      </x:c>
      <x:c r="X23" s="53" t="n">
        <x:v>3</x:v>
      </x:c>
      <x:c r="Y23" s="59" t="str">
        <x:v>SRC-031, SRC-009, SRC-010, SRC-011</x:v>
      </x:c>
      <x:c r="Z23" s="59" t="str">
        <x:v>需正式询价；当前值仅作预算占位或低可信市场锚点</x:v>
      </x:c>
      <x:c r="AA23" s="59" t="str">
        <x:v>停电风险/冷库原料产品</x:v>
      </x:c>
      <x:c r="AB2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4">
      <x:c r="A24" t="str">
        <x:v>CAPEX-019</x:v>
      </x:c>
      <x:c r="B24" t="str">
        <x:v>公用工程</x:v>
      </x:c>
      <x:c r="C24" t="str">
        <x:v>备用发电</x:v>
      </x:c>
      <x:c r="D24" t="str">
        <x:v>柴油发电机及ATS</x:v>
      </x:c>
      <x:c r="E24" t="str">
        <x:v>满足冷库、HVAC和关键设备应急负荷</x:v>
      </x:c>
      <x:c r="F24" t="str">
        <x:v>套</x:v>
      </x:c>
      <x:c r="G24" s="49" t="n">
        <x:v>1</x:v>
      </x:c>
      <x:c r="H24" s="49" t="n">
        <x:v>1</x:v>
      </x:c>
      <x:c r="I24" s="49" t="n">
        <x:v>1</x:v>
      </x:c>
      <x:c r="J24" s="50" t="n">
        <x:f>IF('02_假设与情景'!$B$5="S1",G24,IF('02_假设与情景'!$B$5="S2",H24,I24))</x:f>
        <x:v>1</x:v>
      </x:c>
      <x:c r="K24" s="56" t="n">
        <x:v>220000</x:v>
      </x:c>
      <x:c r="L24" s="29" t="str">
        <x:v>CNY</x:v>
      </x:c>
      <x:c r="M24" s="29" t="str">
        <x:v>原始来源税态未统一披露；模型按含税到厂预算口径归一化，正式询价复核</x:v>
      </x:c>
      <x:c r="N24" s="29"/>
      <x:c r="O24" s="29"/>
      <x:c r="P24" s="57" t="n">
        <x:v>220000</x:v>
      </x:c>
      <x:c r="Q24" s="57" t="n">
        <x:v>211335.2546</x:v>
      </x:c>
      <x:c r="R24" s="57" t="n">
        <x:v>217423.1014</x:v>
      </x:c>
      <x:c r="S24" s="57" t="n">
        <x:v>120000</x:v>
      </x:c>
      <x:c r="T24" s="57" t="n">
        <x:v>450000</x:v>
      </x:c>
      <x:c r="U24" s="52" t="n">
        <x:f>ROUND(J24*P24,2)</x:f>
        <x:v>220000</x:v>
      </x:c>
      <x:c r="V24" s="52" t="n">
        <x:f>ROUND(J24*S24,2)</x:f>
        <x:v>120000</x:v>
      </x:c>
      <x:c r="W24" s="52" t="n">
        <x:f>ROUND(J24*T24,2)</x:f>
        <x:v>450000</x:v>
      </x:c>
      <x:c r="X24" s="53" t="n">
        <x:v>3</x:v>
      </x:c>
      <x:c r="Y24" s="59" t="str">
        <x:v>SRC-027, SRC-009, SRC-010, SRC-011</x:v>
      </x:c>
      <x:c r="Z24" s="59" t="str">
        <x:v>需正式询价；当前值仅作预算占位或低可信市场锚点</x:v>
      </x:c>
      <x:c r="AA24" s="59" t="str">
        <x:v>配备柴油发电机</x:v>
      </x:c>
      <x:c r="AB2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5">
      <x:c r="A25" t="str">
        <x:v>CAPEX-020</x:v>
      </x:c>
      <x:c r="B25" t="str">
        <x:v>厂务设施</x:v>
      </x:c>
      <x:c r="C25" t="str">
        <x:v>安防消防</x:v>
      </x:c>
      <x:c r="D25" t="str">
        <x:v>消防、门禁、监控及报警</x:v>
      </x:c>
      <x:c r="E25" t="str">
        <x:v>洁净区权限与24小时报警</x:v>
      </x:c>
      <x:c r="F25" t="str">
        <x:v>套</x:v>
      </x:c>
      <x:c r="G25" s="49" t="n">
        <x:v>1</x:v>
      </x:c>
      <x:c r="H25" s="49" t="n">
        <x:v>1</x:v>
      </x:c>
      <x:c r="I25" s="49" t="n">
        <x:v>1</x:v>
      </x:c>
      <x:c r="J25" s="50" t="n">
        <x:f>IF('02_假设与情景'!$B$5="S1",G25,IF('02_假设与情景'!$B$5="S2",H25,I25))</x:f>
        <x:v>1</x:v>
      </x:c>
      <x:c r="K25" s="56" t="n">
        <x:v>180000</x:v>
      </x:c>
      <x:c r="L25" s="29" t="str">
        <x:v>CNY</x:v>
      </x:c>
      <x:c r="M25" s="29" t="str">
        <x:v>原始来源税态未统一披露；模型按含税到厂预算口径归一化，正式询价复核</x:v>
      </x:c>
      <x:c r="N25" s="29"/>
      <x:c r="O25" s="29"/>
      <x:c r="P25" s="57" t="n">
        <x:v>180000</x:v>
      </x:c>
      <x:c r="Q25" s="57" t="n">
        <x:v>172910.6628</x:v>
      </x:c>
      <x:c r="R25" s="57" t="n">
        <x:v>177891.6284</x:v>
      </x:c>
      <x:c r="S25" s="57" t="n">
        <x:v>100000</x:v>
      </x:c>
      <x:c r="T25" s="57" t="n">
        <x:v>350000</x:v>
      </x:c>
      <x:c r="U25" s="52" t="n">
        <x:f>ROUND(J25*P25,2)</x:f>
        <x:v>180000</x:v>
      </x:c>
      <x:c r="V25" s="52" t="n">
        <x:f>ROUND(J25*S25,2)</x:f>
        <x:v>100000</x:v>
      </x:c>
      <x:c r="W25" s="52" t="n">
        <x:f>ROUND(J25*T25,2)</x:f>
        <x:v>350000</x:v>
      </x:c>
      <x:c r="X25" s="53" t="n">
        <x:v>3</x:v>
      </x:c>
      <x:c r="Y25" s="59" t="str">
        <x:v>SRC-031, SRC-009, SRC-010, SRC-011</x:v>
      </x:c>
      <x:c r="Z25" s="59" t="str">
        <x:v>需正式询价；当前值仅作预算占位或低可信市场锚点</x:v>
      </x:c>
      <x:c r="AA25" s="59" t="str">
        <x:v>行政办公生活与生产分区</x:v>
      </x:c>
      <x:c r="AB2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6">
      <x:c r="A26" t="str">
        <x:v>CAPEX-021</x:v>
      </x:c>
      <x:c r="B26" t="str">
        <x:v>仓储冷链</x:v>
      </x:c>
      <x:c r="C26" t="str">
        <x:v>冷库</x:v>
      </x:c>
      <x:c r="D26" t="str">
        <x:v>-20C原料冷库</x:v>
      </x:c>
      <x:c r="E26" t="str">
        <x:v>寡核苷酸、酶、质粒原液</x:v>
      </x:c>
      <x:c r="F26" t="str">
        <x:v>m3</x:v>
      </x:c>
      <x:c r="G26" s="49" t="n">
        <x:v>30</x:v>
      </x:c>
      <x:c r="H26" s="49" t="n">
        <x:v>50</x:v>
      </x:c>
      <x:c r="I26" s="49" t="n">
        <x:v>80</x:v>
      </x:c>
      <x:c r="J26" s="50" t="n">
        <x:f>IF('02_假设与情景'!$B$5="S1",G26,IF('02_假设与情景'!$B$5="S2",H26,I26))</x:f>
        <x:v>50</x:v>
      </x:c>
      <x:c r="K26" s="56" t="n">
        <x:v>4500</x:v>
      </x:c>
      <x:c r="L26" s="29" t="str">
        <x:v>CNY</x:v>
      </x:c>
      <x:c r="M26" s="29" t="str">
        <x:v>原始来源税态未统一披露；模型按含税到厂预算口径归一化，正式询价复核</x:v>
      </x:c>
      <x:c r="N26" s="29"/>
      <x:c r="O26" s="29"/>
      <x:c r="P26" s="57" t="n">
        <x:v>4500</x:v>
      </x:c>
      <x:c r="Q26" s="57" t="n">
        <x:v>4322.7666</x:v>
      </x:c>
      <x:c r="R26" s="57" t="n">
        <x:v>4447.2907</x:v>
      </x:c>
      <x:c r="S26" s="57" t="n">
        <x:v>3000</x:v>
      </x:c>
      <x:c r="T26" s="57" t="n">
        <x:v>7000</x:v>
      </x:c>
      <x:c r="U26" s="52" t="n">
        <x:f>ROUND(J26*P26,2)</x:f>
        <x:v>225000</x:v>
      </x:c>
      <x:c r="V26" s="52" t="n">
        <x:f>ROUND(J26*S26,2)</x:f>
        <x:v>150000</x:v>
      </x:c>
      <x:c r="W26" s="52" t="n">
        <x:f>ROUND(J26*T26,2)</x:f>
        <x:v>350000</x:v>
      </x:c>
      <x:c r="X26" s="53" t="n">
        <x:v>4</x:v>
      </x:c>
      <x:c r="Y26" s="59" t="str">
        <x:v>SRC-024, SRC-009, SRC-010, SRC-011</x:v>
      </x:c>
      <x:c r="Z26" s="59" t="str">
        <x:v>公开价格锚点；正式采购仍需同规格、同税费和服务范围询价</x:v>
      </x:c>
      <x:c r="AA26" s="59" t="str">
        <x:v>仓储系统/-20C原料冷库</x:v>
      </x:c>
      <x:c r="AB2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7">
      <x:c r="A27" t="str">
        <x:v>CAPEX-022</x:v>
      </x:c>
      <x:c r="B27" t="str">
        <x:v>仓储冷链</x:v>
      </x:c>
      <x:c r="C27" t="str">
        <x:v>冷库</x:v>
      </x:c>
      <x:c r="D27" t="str">
        <x:v>-20C避光成品冷库</x:v>
      </x:c>
      <x:c r="E27" t="str">
        <x:v>成品避光、分区和货架</x:v>
      </x:c>
      <x:c r="F27" t="str">
        <x:v>m3</x:v>
      </x:c>
      <x:c r="G27" s="49" t="n">
        <x:v>40</x:v>
      </x:c>
      <x:c r="H27" s="49" t="n">
        <x:v>80</x:v>
      </x:c>
      <x:c r="I27" s="49" t="n">
        <x:v>160</x:v>
      </x:c>
      <x:c r="J27" s="50" t="n">
        <x:f>IF('02_假设与情景'!$B$5="S1",G27,IF('02_假设与情景'!$B$5="S2",H27,I27))</x:f>
        <x:v>80</x:v>
      </x:c>
      <x:c r="K27" s="56" t="n">
        <x:v>4800</x:v>
      </x:c>
      <x:c r="L27" s="29" t="str">
        <x:v>CNY</x:v>
      </x:c>
      <x:c r="M27" s="29" t="str">
        <x:v>原始来源税态未统一披露；模型按含税到厂预算口径归一化，正式询价复核</x:v>
      </x:c>
      <x:c r="N27" s="29"/>
      <x:c r="O27" s="29"/>
      <x:c r="P27" s="57" t="n">
        <x:v>4800</x:v>
      </x:c>
      <x:c r="Q27" s="57" t="n">
        <x:v>4610.951</x:v>
      </x:c>
      <x:c r="R27" s="57" t="n">
        <x:v>4743.7767</x:v>
      </x:c>
      <x:c r="S27" s="57" t="n">
        <x:v>3200</x:v>
      </x:c>
      <x:c r="T27" s="57" t="n">
        <x:v>7500</x:v>
      </x:c>
      <x:c r="U27" s="52" t="n">
        <x:f>ROUND(J27*P27,2)</x:f>
        <x:v>384000</x:v>
      </x:c>
      <x:c r="V27" s="52" t="n">
        <x:f>ROUND(J27*S27,2)</x:f>
        <x:v>256000</x:v>
      </x:c>
      <x:c r="W27" s="52" t="n">
        <x:f>ROUND(J27*T27,2)</x:f>
        <x:v>600000</x:v>
      </x:c>
      <x:c r="X27" s="53" t="n">
        <x:v>4</x:v>
      </x:c>
      <x:c r="Y27" s="59" t="str">
        <x:v>SRC-024, SRC-009, SRC-010, SRC-011</x:v>
      </x:c>
      <x:c r="Z27" s="59" t="str">
        <x:v>公开价格锚点；正式采购仍需同规格、同税费和服务范围询价</x:v>
      </x:c>
      <x:c r="AA27" s="59" t="str">
        <x:v>仓储系统/-20C避光成品冷库</x:v>
      </x:c>
      <x:c r="AB2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8">
      <x:c r="A28" t="str">
        <x:v>CAPEX-023</x:v>
      </x:c>
      <x:c r="B28" t="str">
        <x:v>仓储冷链</x:v>
      </x:c>
      <x:c r="C28" t="str">
        <x:v>冷藏库</x:v>
      </x:c>
      <x:c r="D28" t="str">
        <x:v>2-8C原料及半成品库</x:v>
      </x:c>
      <x:c r="E28" t="str">
        <x:v>含暂存和分区货架</x:v>
      </x:c>
      <x:c r="F28" t="str">
        <x:v>m3</x:v>
      </x:c>
      <x:c r="G28" s="49" t="n">
        <x:v>20</x:v>
      </x:c>
      <x:c r="H28" s="49" t="n">
        <x:v>30</x:v>
      </x:c>
      <x:c r="I28" s="49" t="n">
        <x:v>50</x:v>
      </x:c>
      <x:c r="J28" s="50" t="n">
        <x:f>IF('02_假设与情景'!$B$5="S1",G28,IF('02_假设与情景'!$B$5="S2",H28,I28))</x:f>
        <x:v>30</x:v>
      </x:c>
      <x:c r="K28" s="56" t="n">
        <x:v>2800</x:v>
      </x:c>
      <x:c r="L28" s="29" t="str">
        <x:v>CNY</x:v>
      </x:c>
      <x:c r="M28" s="29" t="str">
        <x:v>原始来源税态未统一披露；模型按含税到厂预算口径归一化，正式询价复核</x:v>
      </x:c>
      <x:c r="N28" s="29"/>
      <x:c r="O28" s="29"/>
      <x:c r="P28" s="57" t="n">
        <x:v>2800</x:v>
      </x:c>
      <x:c r="Q28" s="57" t="n">
        <x:v>2689.7214</x:v>
      </x:c>
      <x:c r="R28" s="57" t="n">
        <x:v>2767.2031</x:v>
      </x:c>
      <x:c r="S28" s="57" t="n">
        <x:v>1800</x:v>
      </x:c>
      <x:c r="T28" s="57" t="n">
        <x:v>5000</x:v>
      </x:c>
      <x:c r="U28" s="52" t="n">
        <x:f>ROUND(J28*P28,2)</x:f>
        <x:v>84000</x:v>
      </x:c>
      <x:c r="V28" s="52" t="n">
        <x:f>ROUND(J28*S28,2)</x:f>
        <x:v>54000</x:v>
      </x:c>
      <x:c r="W28" s="52" t="n">
        <x:f>ROUND(J28*T28,2)</x:f>
        <x:v>150000</x:v>
      </x:c>
      <x:c r="X28" s="53" t="n">
        <x:v>4</x:v>
      </x:c>
      <x:c r="Y28" s="59" t="str">
        <x:v>SRC-024, SRC-009, SRC-010, SRC-011</x:v>
      </x:c>
      <x:c r="Z28" s="59" t="str">
        <x:v>公开价格锚点；正式采购仍需同规格、同税费和服务范围询价</x:v>
      </x:c>
      <x:c r="AA28" s="59" t="str">
        <x:v>仓储系统/2-8C原料库</x:v>
      </x:c>
      <x:c r="AB2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9">
      <x:c r="A29" t="str">
        <x:v>CAPEX-024</x:v>
      </x:c>
      <x:c r="B29" t="str">
        <x:v>仓储冷链</x:v>
      </x:c>
      <x:c r="C29" t="str">
        <x:v>监控</x:v>
      </x:c>
      <x:c r="D29" t="str">
        <x:v>冷库温度监控报警与记录</x:v>
      </x:c>
      <x:c r="E29" t="str">
        <x:v>多点探头、短信报警、数据留存</x:v>
      </x:c>
      <x:c r="F29" t="str">
        <x:v>套</x:v>
      </x:c>
      <x:c r="G29" s="49" t="n">
        <x:v>1</x:v>
      </x:c>
      <x:c r="H29" s="49" t="n">
        <x:v>1</x:v>
      </x:c>
      <x:c r="I29" s="49" t="n">
        <x:v>2</x:v>
      </x:c>
      <x:c r="J29" s="50" t="n">
        <x:f>IF('02_假设与情景'!$B$5="S1",G29,IF('02_假设与情景'!$B$5="S2",H29,I29))</x:f>
        <x:v>1</x:v>
      </x:c>
      <x:c r="K29" s="56" t="n">
        <x:v>80000</x:v>
      </x:c>
      <x:c r="L29" s="29" t="str">
        <x:v>CNY</x:v>
      </x:c>
      <x:c r="M29" s="29" t="str">
        <x:v>原始来源税态未统一披露；模型按含税到厂预算口径归一化，正式询价复核</x:v>
      </x:c>
      <x:c r="N29" s="29"/>
      <x:c r="O29" s="29"/>
      <x:c r="P29" s="57" t="n">
        <x:v>80000</x:v>
      </x:c>
      <x:c r="Q29" s="57" t="n">
        <x:v>76849.1835</x:v>
      </x:c>
      <x:c r="R29" s="57" t="n">
        <x:v>79062.946</x:v>
      </x:c>
      <x:c r="S29" s="57" t="n">
        <x:v>40000</x:v>
      </x:c>
      <x:c r="T29" s="57" t="n">
        <x:v>180000</x:v>
      </x:c>
      <x:c r="U29" s="52" t="n">
        <x:f>ROUND(J29*P29,2)</x:f>
        <x:v>80000</x:v>
      </x:c>
      <x:c r="V29" s="52" t="n">
        <x:f>ROUND(J29*S29,2)</x:f>
        <x:v>40000</x:v>
      </x:c>
      <x:c r="W29" s="52" t="n">
        <x:f>ROUND(J29*T29,2)</x:f>
        <x:v>180000</x:v>
      </x:c>
      <x:c r="X29" s="53" t="n">
        <x:v>3</x:v>
      </x:c>
      <x:c r="Y29" s="59" t="str">
        <x:v>SRC-024, SRC-009, SRC-010, SRC-011</x:v>
      </x:c>
      <x:c r="Z29" s="59" t="str">
        <x:v>需正式询价；当前值仅作预算占位或低可信市场锚点</x:v>
      </x:c>
      <x:c r="AA29" s="59" t="str">
        <x:v>成品冷链仓储/GMP记录</x:v>
      </x:c>
      <x:c r="AB2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0">
      <x:c r="A30" t="str">
        <x:v>CAPEX-025</x:v>
      </x:c>
      <x:c r="B30" t="str">
        <x:v>生产设备</x:v>
      </x:c>
      <x:c r="C30" t="str">
        <x:v>配液</x:v>
      </x:c>
      <x:c r="D30" t="str">
        <x:v>PCR Mix低温配液系统</x:v>
      </x:c>
      <x:c r="E30" t="str">
        <x:v>配液容器、低温、避光和均质</x:v>
      </x:c>
      <x:c r="F30" t="str">
        <x:v>套</x:v>
      </x:c>
      <x:c r="G30" s="49" t="n">
        <x:v>1</x:v>
      </x:c>
      <x:c r="H30" s="49" t="n">
        <x:v>1</x:v>
      </x:c>
      <x:c r="I30" s="49" t="n">
        <x:v>2</x:v>
      </x:c>
      <x:c r="J30" s="50" t="n">
        <x:f>IF('02_假设与情景'!$B$5="S1",G30,IF('02_假设与情景'!$B$5="S2",H30,I30))</x:f>
        <x:v>1</x:v>
      </x:c>
      <x:c r="K30" s="56" t="n">
        <x:v>120000</x:v>
      </x:c>
      <x:c r="L30" s="29" t="str">
        <x:v>CNY</x:v>
      </x:c>
      <x:c r="M30" s="29" t="str">
        <x:v>原始来源税态未统一披露；模型按含税到厂预算口径归一化，正式询价复核</x:v>
      </x:c>
      <x:c r="N30" s="29"/>
      <x:c r="O30" s="29"/>
      <x:c r="P30" s="57" t="n">
        <x:v>120000</x:v>
      </x:c>
      <x:c r="Q30" s="57" t="n">
        <x:v>115273.7752</x:v>
      </x:c>
      <x:c r="R30" s="57" t="n">
        <x:v>118594.4189</x:v>
      </x:c>
      <x:c r="S30" s="57" t="n">
        <x:v>60000</x:v>
      </x:c>
      <x:c r="T30" s="57" t="n">
        <x:v>300000</x:v>
      </x:c>
      <x:c r="U30" s="52" t="n">
        <x:f>ROUND(J30*P30,2)</x:f>
        <x:v>120000</x:v>
      </x:c>
      <x:c r="V30" s="52" t="n">
        <x:f>ROUND(J30*S30,2)</x:f>
        <x:v>60000</x:v>
      </x:c>
      <x:c r="W30" s="52" t="n">
        <x:f>ROUND(J30*T30,2)</x:f>
        <x:v>300000</x:v>
      </x:c>
      <x:c r="X30" s="53" t="n">
        <x:v>2</x:v>
      </x:c>
      <x:c r="Y30" s="59" t="str">
        <x:v>SRC-031, SRC-009, SRC-010, SRC-011</x:v>
      </x:c>
      <x:c r="Z30" s="59" t="str">
        <x:v>需正式询价；当前值仅作预算占位或低可信市场锚点</x:v>
      </x:c>
      <x:c r="AA30" s="59" t="str">
        <x:v>PCR扩增混合液配制</x:v>
      </x:c>
      <x:c r="AB3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1">
      <x:c r="A31" t="str">
        <x:v>CAPEX-026</x:v>
      </x:c>
      <x:c r="B31" t="str">
        <x:v>生产设备</x:v>
      </x:c>
      <x:c r="C31" t="str">
        <x:v>配液</x:v>
      </x:c>
      <x:c r="D31" t="str">
        <x:v>CD催化预混液避光配液系统</x:v>
      </x:c>
      <x:c r="E31" t="str">
        <x:v>按摩尔比混合、低温避光</x:v>
      </x:c>
      <x:c r="F31" t="str">
        <x:v>套</x:v>
      </x:c>
      <x:c r="G31" s="49" t="n">
        <x:v>1</x:v>
      </x:c>
      <x:c r="H31" s="49" t="n">
        <x:v>1</x:v>
      </x:c>
      <x:c r="I31" s="49" t="n">
        <x:v>2</x:v>
      </x:c>
      <x:c r="J31" s="50" t="n">
        <x:f>IF('02_假设与情景'!$B$5="S1",G31,IF('02_假设与情景'!$B$5="S2",H31,I31))</x:f>
        <x:v>1</x:v>
      </x:c>
      <x:c r="K31" s="56" t="n">
        <x:v>180000</x:v>
      </x:c>
      <x:c r="L31" s="29" t="str">
        <x:v>CNY</x:v>
      </x:c>
      <x:c r="M31" s="29" t="str">
        <x:v>原始来源税态未统一披露；模型按含税到厂预算口径归一化，正式询价复核</x:v>
      </x:c>
      <x:c r="N31" s="29"/>
      <x:c r="O31" s="29"/>
      <x:c r="P31" s="57" t="n">
        <x:v>180000</x:v>
      </x:c>
      <x:c r="Q31" s="57" t="n">
        <x:v>172910.6628</x:v>
      </x:c>
      <x:c r="R31" s="57" t="n">
        <x:v>177891.6284</x:v>
      </x:c>
      <x:c r="S31" s="57" t="n">
        <x:v>80000</x:v>
      </x:c>
      <x:c r="T31" s="57" t="n">
        <x:v>400000</x:v>
      </x:c>
      <x:c r="U31" s="52" t="n">
        <x:f>ROUND(J31*P31,2)</x:f>
        <x:v>180000</x:v>
      </x:c>
      <x:c r="V31" s="52" t="n">
        <x:f>ROUND(J31*S31,2)</x:f>
        <x:v>80000</x:v>
      </x:c>
      <x:c r="W31" s="52" t="n">
        <x:f>ROUND(J31*T31,2)</x:f>
        <x:v>400000</x:v>
      </x:c>
      <x:c r="X31" s="53" t="n">
        <x:v>2</x:v>
      </x:c>
      <x:c r="Y31" s="59" t="str">
        <x:v>SRC-031, SRC-009, SRC-010, SRC-011</x:v>
      </x:c>
      <x:c r="Z31" s="59" t="str">
        <x:v>需正式询价；当前值仅作预算占位或低可信市场锚点</x:v>
      </x:c>
      <x:c r="AA31" s="59" t="str">
        <x:v>CD催化预混液配制</x:v>
      </x:c>
      <x:c r="AB3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2">
      <x:c r="A32" t="str">
        <x:v>CAPEX-027</x:v>
      </x:c>
      <x:c r="B32" t="str">
        <x:v>生产设备</x:v>
      </x:c>
      <x:c r="C32" t="str">
        <x:v>质粒</x:v>
      </x:c>
      <x:c r="D32" t="str">
        <x:v>质粒对照品负压操作台</x:v>
      </x:c>
      <x:c r="E32" t="str">
        <x:v>独立负压或生物安全操作</x:v>
      </x:c>
      <x:c r="F32" t="str">
        <x:v>台</x:v>
      </x:c>
      <x:c r="G32" s="49" t="n">
        <x:v>1</x:v>
      </x:c>
      <x:c r="H32" s="49" t="n">
        <x:v>1</x:v>
      </x:c>
      <x:c r="I32" s="49" t="n">
        <x:v>2</x:v>
      </x:c>
      <x:c r="J32" s="50" t="n">
        <x:f>IF('02_假设与情景'!$B$5="S1",G32,IF('02_假设与情景'!$B$5="S2",H32,I32))</x:f>
        <x:v>1</x:v>
      </x:c>
      <x:c r="K32" s="56" t="n">
        <x:v>80000</x:v>
      </x:c>
      <x:c r="L32" s="29" t="str">
        <x:v>CNY</x:v>
      </x:c>
      <x:c r="M32" s="29" t="str">
        <x:v>原始来源税态未统一披露；模型按含税到厂预算口径归一化，正式询价复核</x:v>
      </x:c>
      <x:c r="N32" s="29"/>
      <x:c r="O32" s="29"/>
      <x:c r="P32" s="57" t="n">
        <x:v>80000</x:v>
      </x:c>
      <x:c r="Q32" s="57" t="n">
        <x:v>76849.1835</x:v>
      </x:c>
      <x:c r="R32" s="57" t="n">
        <x:v>79062.946</x:v>
      </x:c>
      <x:c r="S32" s="57" t="n">
        <x:v>50000</x:v>
      </x:c>
      <x:c r="T32" s="57" t="n">
        <x:v>180000</x:v>
      </x:c>
      <x:c r="U32" s="52" t="n">
        <x:f>ROUND(J32*P32,2)</x:f>
        <x:v>80000</x:v>
      </x:c>
      <x:c r="V32" s="52" t="n">
        <x:f>ROUND(J32*S32,2)</x:f>
        <x:v>50000</x:v>
      </x:c>
      <x:c r="W32" s="52" t="n">
        <x:f>ROUND(J32*T32,2)</x:f>
        <x:v>180000</x:v>
      </x:c>
      <x:c r="X32" s="53" t="n">
        <x:v>4</x:v>
      </x:c>
      <x:c r="Y32" s="59" t="str">
        <x:v>SRC-023, SRC-009, SRC-010, SRC-011</x:v>
      </x:c>
      <x:c r="Z32" s="59" t="str">
        <x:v>公开价格锚点；正式采购仍需同规格、同税费和服务范围询价</x:v>
      </x:c>
      <x:c r="AA32" s="59" t="str">
        <x:v>组对照品配制/独立负压操作台</x:v>
      </x:c>
      <x:c r="AB3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3">
      <x:c r="A33" t="str">
        <x:v>CAPEX-028</x:v>
      </x:c>
      <x:c r="B33" t="str">
        <x:v>生产设备</x:v>
      </x:c>
      <x:c r="C33" t="str">
        <x:v>过滤</x:v>
      </x:c>
      <x:c r="D33" t="str">
        <x:v>0.22um无菌过滤系统</x:v>
      </x:c>
      <x:c r="E33" t="str">
        <x:v>兼容小批量生物试剂过滤</x:v>
      </x:c>
      <x:c r="F33" t="str">
        <x:v>套</x:v>
      </x:c>
      <x:c r="G33" s="49" t="n">
        <x:v>2</x:v>
      </x:c>
      <x:c r="H33" s="49" t="n">
        <x:v>3</x:v>
      </x:c>
      <x:c r="I33" s="49" t="n">
        <x:v>5</x:v>
      </x:c>
      <x:c r="J33" s="50" t="n">
        <x:f>IF('02_假设与情景'!$B$5="S1",G33,IF('02_假设与情景'!$B$5="S2",H33,I33))</x:f>
        <x:v>3</x:v>
      </x:c>
      <x:c r="K33" s="56" t="n">
        <x:v>30000</x:v>
      </x:c>
      <x:c r="L33" s="29" t="str">
        <x:v>CNY</x:v>
      </x:c>
      <x:c r="M33" s="29" t="str">
        <x:v>原始来源税态未统一披露；模型按含税到厂预算口径归一化，正式询价复核</x:v>
      </x:c>
      <x:c r="N33" s="29"/>
      <x:c r="O33" s="29"/>
      <x:c r="P33" s="57" t="n">
        <x:v>30000</x:v>
      </x:c>
      <x:c r="Q33" s="57" t="n">
        <x:v>28818.4438</x:v>
      </x:c>
      <x:c r="R33" s="57" t="n">
        <x:v>29648.6047</x:v>
      </x:c>
      <x:c r="S33" s="57" t="n">
        <x:v>12000</x:v>
      </x:c>
      <x:c r="T33" s="57" t="n">
        <x:v>80000</x:v>
      </x:c>
      <x:c r="U33" s="52" t="n">
        <x:f>ROUND(J33*P33,2)</x:f>
        <x:v>90000</x:v>
      </x:c>
      <x:c r="V33" s="52" t="n">
        <x:f>ROUND(J33*S33,2)</x:f>
        <x:v>36000</x:v>
      </x:c>
      <x:c r="W33" s="52" t="n">
        <x:f>ROUND(J33*T33,2)</x:f>
        <x:v>240000</x:v>
      </x:c>
      <x:c r="X33" s="53" t="n">
        <x:v>3</x:v>
      </x:c>
      <x:c r="Y33" s="59" t="str">
        <x:v>SRC-031, SRC-009, SRC-010, SRC-011</x:v>
      </x:c>
      <x:c r="Z33" s="59" t="str">
        <x:v>需正式询价；当前值仅作预算占位或低可信市场锚点</x:v>
      </x:c>
      <x:c r="AA33" s="59" t="str">
        <x:v>配制后0.22um过滤</x:v>
      </x:c>
      <x:c r="AB3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4">
      <x:c r="A34" t="str">
        <x:v>CAPEX-029</x:v>
      </x:c>
      <x:c r="B34" t="str">
        <x:v>生产设备</x:v>
      </x:c>
      <x:c r="C34" t="str">
        <x:v>分装</x:v>
      </x:c>
      <x:c r="D34" t="str">
        <x:v>三套独立自动分装旋盖设备</x:v>
      </x:c>
      <x:c r="E34" t="str">
        <x:v>PCR、CD和DNA对照品独立分装</x:v>
      </x:c>
      <x:c r="F34" t="str">
        <x:v>套</x:v>
      </x:c>
      <x:c r="G34" s="49" t="n">
        <x:v>3</x:v>
      </x:c>
      <x:c r="H34" s="49" t="n">
        <x:v>3</x:v>
      </x:c>
      <x:c r="I34" s="49" t="n">
        <x:v>3</x:v>
      </x:c>
      <x:c r="J34" s="50" t="n">
        <x:f>IF('02_假设与情景'!$B$5="S1",G34,IF('02_假设与情景'!$B$5="S2",H34,I34))</x:f>
        <x:v>3</x:v>
      </x:c>
      <x:c r="K34" s="56" t="n">
        <x:v>350000</x:v>
      </x:c>
      <x:c r="L34" s="29" t="str">
        <x:v>CNY</x:v>
      </x:c>
      <x:c r="M34" s="29" t="str">
        <x:v>原始来源税态未统一披露；模型按含税到厂预算口径归一化，正式询价复核</x:v>
      </x:c>
      <x:c r="N34" s="29"/>
      <x:c r="O34" s="29"/>
      <x:c r="P34" s="57" t="n">
        <x:v>350000</x:v>
      </x:c>
      <x:c r="Q34" s="57" t="n">
        <x:v>336215.1777</x:v>
      </x:c>
      <x:c r="R34" s="57" t="n">
        <x:v>345900.3886</x:v>
      </x:c>
      <x:c r="S34" s="57" t="n">
        <x:v>150000</x:v>
      </x:c>
      <x:c r="T34" s="57" t="n">
        <x:v>800000</x:v>
      </x:c>
      <x:c r="U34" s="52" t="n">
        <x:f>ROUND(J34*P34,2)</x:f>
        <x:v>1050000</x:v>
      </x:c>
      <x:c r="V34" s="52" t="n">
        <x:f>ROUND(J34*S34,2)</x:f>
        <x:v>450000</x:v>
      </x:c>
      <x:c r="W34" s="52" t="n">
        <x:f>ROUND(J34*T34,2)</x:f>
        <x:v>2400000</x:v>
      </x:c>
      <x:c r="X34" s="53" t="n">
        <x:v>3</x:v>
      </x:c>
      <x:c r="Y34" s="59" t="str">
        <x:v>SRC-025, SRC-009, SRC-010, SRC-011</x:v>
      </x:c>
      <x:c r="Z34" s="59" t="str">
        <x:v>需正式询价；当前值仅作预算占位或低可信市场锚点</x:v>
      </x:c>
      <x:c r="AA34" s="59" t="str">
        <x:v>ISO7洁净区/三套独立分装设备</x:v>
      </x:c>
      <x:c r="AB3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5">
      <x:c r="A35" t="str">
        <x:v>CAPEX-030</x:v>
      </x:c>
      <x:c r="B35" t="str">
        <x:v>生产设备</x:v>
      </x:c>
      <x:c r="C35" t="str">
        <x:v>过程控制</x:v>
      </x:c>
      <x:c r="D35" t="str">
        <x:v>在线称重校验系统</x:v>
      </x:c>
      <x:c r="E35" t="str">
        <x:v>与三套分装设备联机或独立抽检</x:v>
      </x:c>
      <x:c r="F35" t="str">
        <x:v>套</x:v>
      </x:c>
      <x:c r="G35" s="49" t="n">
        <x:v>1</x:v>
      </x:c>
      <x:c r="H35" s="49" t="n">
        <x:v>3</x:v>
      </x:c>
      <x:c r="I35" s="49" t="n">
        <x:v>3</x:v>
      </x:c>
      <x:c r="J35" s="50" t="n">
        <x:f>IF('02_假设与情景'!$B$5="S1",G35,IF('02_假设与情景'!$B$5="S2",H35,I35))</x:f>
        <x:v>3</x:v>
      </x:c>
      <x:c r="K35" s="56" t="n">
        <x:v>120000</x:v>
      </x:c>
      <x:c r="L35" s="29" t="str">
        <x:v>CNY</x:v>
      </x:c>
      <x:c r="M35" s="29" t="str">
        <x:v>原始来源税态未统一披露；模型按含税到厂预算口径归一化，正式询价复核</x:v>
      </x:c>
      <x:c r="N35" s="29"/>
      <x:c r="O35" s="29"/>
      <x:c r="P35" s="57" t="n">
        <x:v>120000</x:v>
      </x:c>
      <x:c r="Q35" s="57" t="n">
        <x:v>115273.7752</x:v>
      </x:c>
      <x:c r="R35" s="57" t="n">
        <x:v>118594.4189</x:v>
      </x:c>
      <x:c r="S35" s="57" t="n">
        <x:v>50000</x:v>
      </x:c>
      <x:c r="T35" s="57" t="n">
        <x:v>260000</x:v>
      </x:c>
      <x:c r="U35" s="52" t="n">
        <x:f>ROUND(J35*P35,2)</x:f>
        <x:v>360000</x:v>
      </x:c>
      <x:c r="V35" s="52" t="n">
        <x:f>ROUND(J35*S35,2)</x:f>
        <x:v>150000</x:v>
      </x:c>
      <x:c r="W35" s="52" t="n">
        <x:f>ROUND(J35*T35,2)</x:f>
        <x:v>780000</x:v>
      </x:c>
      <x:c r="X35" s="53" t="n">
        <x:v>3</x:v>
      </x:c>
      <x:c r="Y35" s="59" t="str">
        <x:v>SRC-025, SRC-009, SRC-010, SRC-011</x:v>
      </x:c>
      <x:c r="Z35" s="59" t="str">
        <x:v>需正式询价；当前值仅作预算占位或低可信市场锚点</x:v>
      </x:c>
      <x:c r="AA35" s="59" t="str">
        <x:v>在线称重校验</x:v>
      </x:c>
      <x:c r="AB3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6">
      <x:c r="A36" t="str">
        <x:v>CAPEX-031</x:v>
      </x:c>
      <x:c r="B36" t="str">
        <x:v>生产设备</x:v>
      </x:c>
      <x:c r="C36" t="str">
        <x:v>过程控制</x:v>
      </x:c>
      <x:c r="D36" t="str">
        <x:v>机器视觉漏液与旋盖检测</x:v>
      </x:c>
      <x:c r="E36" t="str">
        <x:v>漏液、液位、瓶盖松动检测</x:v>
      </x:c>
      <x:c r="F36" t="str">
        <x:v>套</x:v>
      </x:c>
      <x:c r="G36" s="49" t="n">
        <x:v>1</x:v>
      </x:c>
      <x:c r="H36" s="49" t="n">
        <x:v>3</x:v>
      </x:c>
      <x:c r="I36" s="49" t="n">
        <x:v>3</x:v>
      </x:c>
      <x:c r="J36" s="50" t="n">
        <x:f>IF('02_假设与情景'!$B$5="S1",G36,IF('02_假设与情景'!$B$5="S2",H36,I36))</x:f>
        <x:v>3</x:v>
      </x:c>
      <x:c r="K36" s="56" t="n">
        <x:v>180000</x:v>
      </x:c>
      <x:c r="L36" s="29" t="str">
        <x:v>CNY</x:v>
      </x:c>
      <x:c r="M36" s="29" t="str">
        <x:v>原始来源税态未统一披露；模型按含税到厂预算口径归一化，正式询价复核</x:v>
      </x:c>
      <x:c r="N36" s="29"/>
      <x:c r="O36" s="29"/>
      <x:c r="P36" s="57" t="n">
        <x:v>180000</x:v>
      </x:c>
      <x:c r="Q36" s="57" t="n">
        <x:v>172910.6628</x:v>
      </x:c>
      <x:c r="R36" s="57" t="n">
        <x:v>177891.6284</x:v>
      </x:c>
      <x:c r="S36" s="57" t="n">
        <x:v>70000</x:v>
      </x:c>
      <x:c r="T36" s="57" t="n">
        <x:v>400000</x:v>
      </x:c>
      <x:c r="U36" s="52" t="n">
        <x:f>ROUND(J36*P36,2)</x:f>
        <x:v>540000</x:v>
      </x:c>
      <x:c r="V36" s="52" t="n">
        <x:f>ROUND(J36*S36,2)</x:f>
        <x:v>210000</x:v>
      </x:c>
      <x:c r="W36" s="52" t="n">
        <x:f>ROUND(J36*T36,2)</x:f>
        <x:v>1200000</x:v>
      </x:c>
      <x:c r="X36" s="53" t="n">
        <x:v>3</x:v>
      </x:c>
      <x:c r="Y36" s="59" t="str">
        <x:v>SRC-025, SRC-009, SRC-010, SRC-011</x:v>
      </x:c>
      <x:c r="Z36" s="59" t="str">
        <x:v>需正式询价；当前值仅作预算占位或低可信市场锚点</x:v>
      </x:c>
      <x:c r="AA36" s="59" t="str">
        <x:v>视觉检测漏液/瓶盖松动</x:v>
      </x:c>
      <x:c r="AB3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7">
      <x:c r="A37" t="str">
        <x:v>CAPEX-032</x:v>
      </x:c>
      <x:c r="B37" t="str">
        <x:v>包装设备</x:v>
      </x:c>
      <x:c r="C37" t="str">
        <x:v>喷码</x:v>
      </x:c>
      <x:c r="D37" t="str">
        <x:v>全自动喷码系统</x:v>
      </x:c>
      <x:c r="E37" t="str">
        <x:v>批号、生产日期、有效期</x:v>
      </x:c>
      <x:c r="F37" t="str">
        <x:v>套</x:v>
      </x:c>
      <x:c r="G37" s="49" t="n">
        <x:v>1</x:v>
      </x:c>
      <x:c r="H37" s="49" t="n">
        <x:v>1</x:v>
      </x:c>
      <x:c r="I37" s="49" t="n">
        <x:v>2</x:v>
      </x:c>
      <x:c r="J37" s="50" t="n">
        <x:f>IF('02_假设与情景'!$B$5="S1",G37,IF('02_假设与情景'!$B$5="S2",H37,I37))</x:f>
        <x:v>1</x:v>
      </x:c>
      <x:c r="K37" s="56" t="n">
        <x:v>60000</x:v>
      </x:c>
      <x:c r="L37" s="29" t="str">
        <x:v>CNY</x:v>
      </x:c>
      <x:c r="M37" s="29" t="str">
        <x:v>原始来源税态未统一披露；模型按含税到厂预算口径归一化，正式询价复核</x:v>
      </x:c>
      <x:c r="N37" s="29"/>
      <x:c r="O37" s="29"/>
      <x:c r="P37" s="57" t="n">
        <x:v>60000</x:v>
      </x:c>
      <x:c r="Q37" s="57" t="n">
        <x:v>57636.8876</x:v>
      </x:c>
      <x:c r="R37" s="57" t="n">
        <x:v>59297.2095</x:v>
      </x:c>
      <x:c r="S37" s="57" t="n">
        <x:v>25000</x:v>
      </x:c>
      <x:c r="T37" s="57" t="n">
        <x:v>150000</x:v>
      </x:c>
      <x:c r="U37" s="52" t="n">
        <x:f>ROUND(J37*P37,2)</x:f>
        <x:v>60000</x:v>
      </x:c>
      <x:c r="V37" s="52" t="n">
        <x:f>ROUND(J37*S37,2)</x:f>
        <x:v>25000</x:v>
      </x:c>
      <x:c r="W37" s="52" t="n">
        <x:f>ROUND(J37*T37,2)</x:f>
        <x:v>150000</x:v>
      </x:c>
      <x:c r="X37" s="53" t="n">
        <x:v>3</x:v>
      </x:c>
      <x:c r="Y37" s="59" t="str">
        <x:v>SRC-028, SRC-009, SRC-010, SRC-011</x:v>
      </x:c>
      <x:c r="Z37" s="59" t="str">
        <x:v>需正式询价；当前值仅作预算占位或低可信市场锚点</x:v>
      </x:c>
      <x:c r="AA37" s="59" t="str">
        <x:v>全自动喷码/MES追溯</x:v>
      </x:c>
      <x:c r="AB3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8">
      <x:c r="A38" t="str">
        <x:v>CAPEX-033</x:v>
      </x:c>
      <x:c r="B38" t="str">
        <x:v>包装设备</x:v>
      </x:c>
      <x:c r="C38" t="str">
        <x:v>贴标</x:v>
      </x:c>
      <x:c r="D38" t="str">
        <x:v>自动贴标及防伪赋码</x:v>
      </x:c>
      <x:c r="E38" t="str">
        <x:v>产品标签、防伪和条码</x:v>
      </x:c>
      <x:c r="F38" t="str">
        <x:v>套</x:v>
      </x:c>
      <x:c r="G38" s="49" t="n">
        <x:v>1</x:v>
      </x:c>
      <x:c r="H38" s="49" t="n">
        <x:v>1</x:v>
      </x:c>
      <x:c r="I38" s="49" t="n">
        <x:v>2</x:v>
      </x:c>
      <x:c r="J38" s="50" t="n">
        <x:f>IF('02_假设与情景'!$B$5="S1",G38,IF('02_假设与情景'!$B$5="S2",H38,I38))</x:f>
        <x:v>1</x:v>
      </x:c>
      <x:c r="K38" s="56" t="n">
        <x:v>90000</x:v>
      </x:c>
      <x:c r="L38" s="29" t="str">
        <x:v>CNY</x:v>
      </x:c>
      <x:c r="M38" s="29" t="str">
        <x:v>原始来源税态未统一披露；模型按含税到厂预算口径归一化，正式询价复核</x:v>
      </x:c>
      <x:c r="N38" s="29"/>
      <x:c r="O38" s="29"/>
      <x:c r="P38" s="57" t="n">
        <x:v>90000</x:v>
      </x:c>
      <x:c r="Q38" s="57" t="n">
        <x:v>86455.3314</x:v>
      </x:c>
      <x:c r="R38" s="57" t="n">
        <x:v>88945.8142</x:v>
      </x:c>
      <x:c r="S38" s="57" t="n">
        <x:v>35000</x:v>
      </x:c>
      <x:c r="T38" s="57" t="n">
        <x:v>220000</x:v>
      </x:c>
      <x:c r="U38" s="52" t="n">
        <x:f>ROUND(J38*P38,2)</x:f>
        <x:v>90000</x:v>
      </x:c>
      <x:c r="V38" s="52" t="n">
        <x:f>ROUND(J38*S38,2)</x:f>
        <x:v>35000</x:v>
      </x:c>
      <x:c r="W38" s="52" t="n">
        <x:f>ROUND(J38*T38,2)</x:f>
        <x:v>220000</x:v>
      </x:c>
      <x:c r="X38" s="53" t="n">
        <x:v>3</x:v>
      </x:c>
      <x:c r="Y38" s="59" t="str">
        <x:v>SRC-028, SRC-009, SRC-010, SRC-011</x:v>
      </x:c>
      <x:c r="Z38" s="59" t="str">
        <x:v>需正式询价；当前值仅作预算占位或低可信市场锚点</x:v>
      </x:c>
      <x:c r="AA38" s="59" t="str">
        <x:v>贴产品标签、防伪</x:v>
      </x:c>
      <x:c r="AB3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9">
      <x:c r="A39" t="str">
        <x:v>CAPEX-034</x:v>
      </x:c>
      <x:c r="B39" t="str">
        <x:v>包装设备</x:v>
      </x:c>
      <x:c r="C39" t="str">
        <x:v>装盒封盒</x:v>
      </x:c>
      <x:c r="D39" t="str">
        <x:v>自动分料、装盒与封盒线</x:v>
      </x:c>
      <x:c r="E39" t="str">
        <x:v>七支试剂管、受控说明书、内托和盒体；兼容PCR、PANDA、CD、WT、100%阳性、0.1%弱阳性及NTC</x:v>
      </x:c>
      <x:c r="F39" t="str">
        <x:v>套</x:v>
      </x:c>
      <x:c r="G39" s="49" t="n">
        <x:v>1</x:v>
      </x:c>
      <x:c r="H39" s="49" t="n">
        <x:v>1</x:v>
      </x:c>
      <x:c r="I39" s="49" t="n">
        <x:v>2</x:v>
      </x:c>
      <x:c r="J39" s="50" t="n">
        <x:f>IF('02_假设与情景'!$B$5="S1",G39,IF('02_假设与情景'!$B$5="S2",H39,I39))</x:f>
        <x:v>1</x:v>
      </x:c>
      <x:c r="K39" s="56" t="n">
        <x:v>280000</x:v>
      </x:c>
      <x:c r="L39" s="29" t="str">
        <x:v>CNY</x:v>
      </x:c>
      <x:c r="M39" s="29" t="str">
        <x:v>原始来源税态未统一披露；模型按含税到厂预算口径归一化，正式询价复核</x:v>
      </x:c>
      <x:c r="N39" s="29"/>
      <x:c r="O39" s="29"/>
      <x:c r="P39" s="57" t="n">
        <x:v>280000</x:v>
      </x:c>
      <x:c r="Q39" s="57" t="n">
        <x:v>268972.1422</x:v>
      </x:c>
      <x:c r="R39" s="57" t="n">
        <x:v>276720.3109</x:v>
      </x:c>
      <x:c r="S39" s="57" t="n">
        <x:v>120000</x:v>
      </x:c>
      <x:c r="T39" s="57" t="n">
        <x:v>650000</x:v>
      </x:c>
      <x:c r="U39" s="52" t="n">
        <x:f>ROUND(J39*P39,2)</x:f>
        <x:v>280000</x:v>
      </x:c>
      <x:c r="V39" s="52" t="n">
        <x:f>ROUND(J39*S39,2)</x:f>
        <x:v>120000</x:v>
      </x:c>
      <x:c r="W39" s="52" t="n">
        <x:f>ROUND(J39*T39,2)</x:f>
        <x:v>650000</x:v>
      </x:c>
      <x:c r="X39" s="53" t="n">
        <x:v>3</x:v>
      </x:c>
      <x:c r="Y39" s="59" t="str">
        <x:v>SRC-028, SRC-009, SRC-010, SRC-011</x:v>
      </x:c>
      <x:c r="Z39" s="59" t="str">
        <x:v>需正式询价；当前值仅作预算占位或低可信市场锚点</x:v>
      </x:c>
      <x:c r="AA39" s="59" t="str">
        <x:v>ISO8组装包装流水线</x:v>
      </x:c>
      <x:c r="AB39" s="59" t="str">
        <x:v>设备选型按七管装盒逻辑；需以实物管尺寸、内托图纸、装盒节拍、错漏装检测和换型验证正式询价</x:v>
      </x:c>
    </x:row>
    <x:row r="40">
      <x:c r="A40" t="str">
        <x:v>CAPEX-035</x:v>
      </x:c>
      <x:c r="B40" t="str">
        <x:v>包装设备</x:v>
      </x:c>
      <x:c r="C40" t="str">
        <x:v>热缩</x:v>
      </x:c>
      <x:c r="D40" t="str">
        <x:v>热缩膜包装机</x:v>
      </x:c>
      <x:c r="E40" t="str">
        <x:v>含输送和温控</x:v>
      </x:c>
      <x:c r="F40" t="str">
        <x:v>套</x:v>
      </x:c>
      <x:c r="G40" s="49" t="n">
        <x:v>1</x:v>
      </x:c>
      <x:c r="H40" s="49" t="n">
        <x:v>1</x:v>
      </x:c>
      <x:c r="I40" s="49" t="n">
        <x:v>2</x:v>
      </x:c>
      <x:c r="J40" s="50" t="n">
        <x:f>IF('02_假设与情景'!$B$5="S1",G40,IF('02_假设与情景'!$B$5="S2",H40,I40))</x:f>
        <x:v>1</x:v>
      </x:c>
      <x:c r="K40" s="56" t="n">
        <x:v>50000</x:v>
      </x:c>
      <x:c r="L40" s="29" t="str">
        <x:v>CNY</x:v>
      </x:c>
      <x:c r="M40" s="29" t="str">
        <x:v>原始来源税态未统一披露；模型按含税到厂预算口径归一化，正式询价复核</x:v>
      </x:c>
      <x:c r="N40" s="29"/>
      <x:c r="O40" s="29"/>
      <x:c r="P40" s="57" t="n">
        <x:v>50000</x:v>
      </x:c>
      <x:c r="Q40" s="57" t="n">
        <x:v>48030.7397</x:v>
      </x:c>
      <x:c r="R40" s="57" t="n">
        <x:v>49414.3413</x:v>
      </x:c>
      <x:c r="S40" s="57" t="n">
        <x:v>18000</x:v>
      </x:c>
      <x:c r="T40" s="57" t="n">
        <x:v>120000</x:v>
      </x:c>
      <x:c r="U40" s="52" t="n">
        <x:f>ROUND(J40*P40,2)</x:f>
        <x:v>50000</x:v>
      </x:c>
      <x:c r="V40" s="52" t="n">
        <x:f>ROUND(J40*S40,2)</x:f>
        <x:v>18000</x:v>
      </x:c>
      <x:c r="W40" s="52" t="n">
        <x:f>ROUND(J40*T40,2)</x:f>
        <x:v>120000</x:v>
      </x:c>
      <x:c r="X40" s="53" t="n">
        <x:v>3</x:v>
      </x:c>
      <x:c r="Y40" s="59" t="str">
        <x:v>SRC-028, SRC-009, SRC-010, SRC-011</x:v>
      </x:c>
      <x:c r="Z40" s="59" t="str">
        <x:v>需正式询价；当前值仅作预算占位或低可信市场锚点</x:v>
      </x:c>
      <x:c r="AA40" s="59" t="str">
        <x:v>封盒、热缩膜</x:v>
      </x:c>
      <x:c r="AB4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1">
      <x:c r="A41" t="str">
        <x:v>CAPEX-036</x:v>
      </x:c>
      <x:c r="B41" t="str">
        <x:v>QC设备</x:v>
      </x:c>
      <x:c r="C41" t="str">
        <x:v>核酸扩增</x:v>
      </x:c>
      <x:c r="D41" t="str">
        <x:v>荧光定量PCR仪</x:v>
      </x:c>
      <x:c r="E41" t="str">
        <x:v>多通道、污染控制配套</x:v>
      </x:c>
      <x:c r="F41" t="str">
        <x:v>台</x:v>
      </x:c>
      <x:c r="G41" s="49" t="n">
        <x:v>1</x:v>
      </x:c>
      <x:c r="H41" s="49" t="n">
        <x:v>2</x:v>
      </x:c>
      <x:c r="I41" s="49" t="n">
        <x:v>3</x:v>
      </x:c>
      <x:c r="J41" s="50" t="n">
        <x:f>IF('02_假设与情景'!$B$5="S1",G41,IF('02_假设与情景'!$B$5="S2",H41,I41))</x:f>
        <x:v>2</x:v>
      </x:c>
      <x:c r="K41" s="56" t="n">
        <x:v>300000</x:v>
      </x:c>
      <x:c r="L41" s="29" t="str">
        <x:v>CNY</x:v>
      </x:c>
      <x:c r="M41" s="29" t="str">
        <x:v>原始来源税态未统一披露；模型按含税到厂预算口径归一化，正式询价复核</x:v>
      </x:c>
      <x:c r="N41" s="29"/>
      <x:c r="O41" s="29"/>
      <x:c r="P41" s="57" t="n">
        <x:v>300000</x:v>
      </x:c>
      <x:c r="Q41" s="57" t="n">
        <x:v>300000</x:v>
      </x:c>
      <x:c r="R41" s="57" t="n">
        <x:v>306000</x:v>
      </x:c>
      <x:c r="S41" s="57" t="n">
        <x:v>250000</x:v>
      </x:c>
      <x:c r="T41" s="57" t="n">
        <x:v>350000</x:v>
      </x:c>
      <x:c r="U41" s="52" t="n">
        <x:f>ROUND(J41*P41,2)</x:f>
        <x:v>600000</x:v>
      </x:c>
      <x:c r="V41" s="52" t="n">
        <x:f>ROUND(J41*S41,2)</x:f>
        <x:v>500000</x:v>
      </x:c>
      <x:c r="W41" s="52" t="n">
        <x:f>ROUND(J41*T41,2)</x:f>
        <x:v>700000</x:v>
      </x:c>
      <x:c r="X41" s="53" t="n">
        <x:v>7</x:v>
      </x:c>
      <x:c r="Y41" s="59" t="str">
        <x:v>SRC-019</x:v>
      </x:c>
      <x:c r="Z41" s="59" t="str">
        <x:v>公开价格锚点；正式采购仍需同规格、同税费和服务范围询价</x:v>
      </x:c>
      <x:c r="AA41" s="59" t="str">
        <x:v>检验实验室/qPCR实验室</x:v>
      </x:c>
      <x:c r="AB4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2">
      <x:c r="A42" t="str">
        <x:v>CAPEX-037</x:v>
      </x:c>
      <x:c r="B42" t="str">
        <x:v>QC设备</x:v>
      </x:c>
      <x:c r="C42" t="str">
        <x:v>荧光检测</x:v>
      </x:c>
      <x:c r="D42" t="str">
        <x:v>恒温双通道酶标仪</x:v>
      </x:c>
      <x:c r="E42" t="str">
        <x:v>42C恒温、FAM/ROX双通道动力学</x:v>
      </x:c>
      <x:c r="F42" t="str">
        <x:v>台</x:v>
      </x:c>
      <x:c r="G42" s="49" t="n">
        <x:v>1</x:v>
      </x:c>
      <x:c r="H42" s="49" t="n">
        <x:v>2</x:v>
      </x:c>
      <x:c r="I42" s="49" t="n">
        <x:v>3</x:v>
      </x:c>
      <x:c r="J42" s="50" t="n">
        <x:f>IF('02_假设与情景'!$B$5="S1",G42,IF('02_假设与情景'!$B$5="S2",H42,I42))</x:f>
        <x:v>2</x:v>
      </x:c>
      <x:c r="K42" s="56" t="n">
        <x:v>350000</x:v>
      </x:c>
      <x:c r="L42" s="29" t="str">
        <x:v>CNY</x:v>
      </x:c>
      <x:c r="M42" s="29" t="str">
        <x:v>原始来源税态未统一披露；模型按含税到厂预算口径归一化，正式询价复核</x:v>
      </x:c>
      <x:c r="N42" s="29"/>
      <x:c r="O42" s="29"/>
      <x:c r="P42" s="57" t="n">
        <x:v>350000</x:v>
      </x:c>
      <x:c r="Q42" s="57" t="n">
        <x:v>350000</x:v>
      </x:c>
      <x:c r="R42" s="57" t="n">
        <x:v>357000</x:v>
      </x:c>
      <x:c r="S42" s="57" t="n">
        <x:v>300000</x:v>
      </x:c>
      <x:c r="T42" s="57" t="n">
        <x:v>400000</x:v>
      </x:c>
      <x:c r="U42" s="52" t="n">
        <x:f>ROUND(J42*P42,2)</x:f>
        <x:v>700000</x:v>
      </x:c>
      <x:c r="V42" s="52" t="n">
        <x:f>ROUND(J42*S42,2)</x:f>
        <x:v>600000</x:v>
      </x:c>
      <x:c r="W42" s="52" t="n">
        <x:f>ROUND(J42*T42,2)</x:f>
        <x:v>800000</x:v>
      </x:c>
      <x:c r="X42" s="53" t="n">
        <x:v>7</x:v>
      </x:c>
      <x:c r="Y42" s="59" t="str">
        <x:v>SRC-020</x:v>
      </x:c>
      <x:c r="Z42" s="59" t="str">
        <x:v>公开价格锚点；正式采购仍需同规格、同税费和服务范围询价</x:v>
      </x:c>
      <x:c r="AA42" s="59" t="str">
        <x:v>酶标仪42C采集FAM/ROX</x:v>
      </x:c>
      <x:c r="AB4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3">
      <x:c r="A43" t="str">
        <x:v>CAPEX-038</x:v>
      </x:c>
      <x:c r="B43" t="str">
        <x:v>QC设备</x:v>
      </x:c>
      <x:c r="C43" t="str">
        <x:v>定量</x:v>
      </x:c>
      <x:c r="D43" t="str">
        <x:v>微量紫外分光光度计</x:v>
      </x:c>
      <x:c r="E43" t="str">
        <x:v>寡核苷酸和质粒浓度定量</x:v>
      </x:c>
      <x:c r="F43" t="str">
        <x:v>台</x:v>
      </x:c>
      <x:c r="G43" s="49" t="n">
        <x:v>1</x:v>
      </x:c>
      <x:c r="H43" s="49" t="n">
        <x:v>2</x:v>
      </x:c>
      <x:c r="I43" s="49" t="n">
        <x:v>3</x:v>
      </x:c>
      <x:c r="J43" s="50" t="n">
        <x:f>IF('02_假设与情景'!$B$5="S1",G43,IF('02_假设与情景'!$B$5="S2",H43,I43))</x:f>
        <x:v>2</x:v>
      </x:c>
      <x:c r="K43" s="56" t="n">
        <x:v>38000</x:v>
      </x:c>
      <x:c r="L43" s="29" t="str">
        <x:v>CNY</x:v>
      </x:c>
      <x:c r="M43" s="29" t="str">
        <x:v>原始来源税态未统一披露；模型按含税到厂预算口径归一化，正式询价复核</x:v>
      </x:c>
      <x:c r="N43" s="29"/>
      <x:c r="O43" s="29"/>
      <x:c r="P43" s="57" t="n">
        <x:v>38000</x:v>
      </x:c>
      <x:c r="Q43" s="57" t="n">
        <x:v>37500</x:v>
      </x:c>
      <x:c r="R43" s="57" t="n">
        <x:v>38300</x:v>
      </x:c>
      <x:c r="S43" s="57" t="n">
        <x:v>30000</x:v>
      </x:c>
      <x:c r="T43" s="57" t="n">
        <x:v>45000</x:v>
      </x:c>
      <x:c r="U43" s="52" t="n">
        <x:f>ROUND(J43*P43,2)</x:f>
        <x:v>76000</x:v>
      </x:c>
      <x:c r="V43" s="52" t="n">
        <x:f>ROUND(J43*S43,2)</x:f>
        <x:v>60000</x:v>
      </x:c>
      <x:c r="W43" s="52" t="n">
        <x:f>ROUND(J43*T43,2)</x:f>
        <x:v>90000</x:v>
      </x:c>
      <x:c r="X43" s="53" t="n">
        <x:v>5</x:v>
      </x:c>
      <x:c r="Y43" s="59" t="str">
        <x:v>SRC-021</x:v>
      </x:c>
      <x:c r="Z43" s="59" t="str">
        <x:v>公开价格锚点；正式采购仍需同规格、同税费和服务范围询价</x:v>
      </x:c>
      <x:c r="AA43" s="59" t="str">
        <x:v>紫外定量P-C双链/质粒定量</x:v>
      </x:c>
      <x:c r="AB4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4">
      <x:c r="A44" t="str">
        <x:v>CAPEX-039</x:v>
      </x:c>
      <x:c r="B44" t="str">
        <x:v>QC设备</x:v>
      </x:c>
      <x:c r="C44" t="str">
        <x:v>纯度</x:v>
      </x:c>
      <x:c r="D44" t="str">
        <x:v>HPLC系统（可选自建）</x:v>
      </x:c>
      <x:c r="E44" t="str">
        <x:v>寡核苷酸/小分子纯度复核；可委外</x:v>
      </x:c>
      <x:c r="F44" t="str">
        <x:v>台</x:v>
      </x:c>
      <x:c r="G44" s="49" t="n">
        <x:v>0</x:v>
      </x:c>
      <x:c r="H44" s="49" t="n">
        <x:v>1</x:v>
      </x:c>
      <x:c r="I44" s="49" t="n">
        <x:v>1</x:v>
      </x:c>
      <x:c r="J44" s="50" t="n">
        <x:f>IF('02_假设与情景'!$B$5="S1",G44,IF('02_假设与情景'!$B$5="S2",H44,I44))</x:f>
        <x:v>1</x:v>
      </x:c>
      <x:c r="K44" s="56" t="n">
        <x:v>490000</x:v>
      </x:c>
      <x:c r="L44" s="29" t="str">
        <x:v>CNY</x:v>
      </x:c>
      <x:c r="M44" s="29" t="str">
        <x:v>原始来源税态未统一披露；模型按含税到厂预算口径归一化，正式询价复核</x:v>
      </x:c>
      <x:c r="N44" s="29"/>
      <x:c r="O44" s="29"/>
      <x:c r="P44" s="57" t="n">
        <x:v>490000</x:v>
      </x:c>
      <x:c r="Q44" s="57" t="n">
        <x:v>480000</x:v>
      </x:c>
      <x:c r="R44" s="57" t="n">
        <x:v>490000</x:v>
      </x:c>
      <x:c r="S44" s="57" t="n">
        <x:v>470000</x:v>
      </x:c>
      <x:c r="T44" s="57" t="n">
        <x:v>900000</x:v>
      </x:c>
      <x:c r="U44" s="52" t="n">
        <x:f>ROUND(J44*P44,2)</x:f>
        <x:v>490000</x:v>
      </x:c>
      <x:c r="V44" s="52" t="n">
        <x:f>ROUND(J44*S44,2)</x:f>
        <x:v>470000</x:v>
      </x:c>
      <x:c r="W44" s="52" t="n">
        <x:f>ROUND(J44*T44,2)</x:f>
        <x:v>900000</x:v>
      </x:c>
      <x:c r="X44" s="53" t="n">
        <x:v>7</x:v>
      </x:c>
      <x:c r="Y44" s="59" t="str">
        <x:v>SRC-022</x:v>
      </x:c>
      <x:c r="Z44" s="59" t="str">
        <x:v>公开价格锚点；正式采购仍需同规格、同税费和服务范围询价</x:v>
      </x:c>
      <x:c r="AA44" s="59" t="str">
        <x:v>原料入厂/HPLC测纯度</x:v>
      </x:c>
      <x:c r="AB4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5">
      <x:c r="A45" t="str">
        <x:v>CAPEX-040</x:v>
      </x:c>
      <x:c r="B45" t="str">
        <x:v>QC设备</x:v>
      </x:c>
      <x:c r="C45" t="str">
        <x:v>电泳</x:v>
      </x:c>
      <x:c r="D45" t="str">
        <x:v>核酸电泳与成像系统</x:v>
      </x:c>
      <x:c r="E45" t="str">
        <x:v>琼脂糖电泳、凝胶成像</x:v>
      </x:c>
      <x:c r="F45" t="str">
        <x:v>套</x:v>
      </x:c>
      <x:c r="G45" s="49" t="n">
        <x:v>1</x:v>
      </x:c>
      <x:c r="H45" s="49" t="n">
        <x:v>1</x:v>
      </x:c>
      <x:c r="I45" s="49" t="n">
        <x:v>2</x:v>
      </x:c>
      <x:c r="J45" s="50" t="n">
        <x:f>IF('02_假设与情景'!$B$5="S1",G45,IF('02_假设与情景'!$B$5="S2",H45,I45))</x:f>
        <x:v>1</x:v>
      </x:c>
      <x:c r="K45" s="56" t="n">
        <x:v>80000</x:v>
      </x:c>
      <x:c r="L45" s="29" t="str">
        <x:v>CNY</x:v>
      </x:c>
      <x:c r="M45" s="29" t="str">
        <x:v>原始来源税态未统一披露；模型按含税到厂预算口径归一化，正式询价复核</x:v>
      </x:c>
      <x:c r="N45" s="29"/>
      <x:c r="O45" s="29"/>
      <x:c r="P45" s="57" t="n">
        <x:v>80000</x:v>
      </x:c>
      <x:c r="Q45" s="57" t="n">
        <x:v>76849.1835</x:v>
      </x:c>
      <x:c r="R45" s="57" t="n">
        <x:v>79062.946</x:v>
      </x:c>
      <x:c r="S45" s="57" t="n">
        <x:v>40000</x:v>
      </x:c>
      <x:c r="T45" s="57" t="n">
        <x:v>180000</x:v>
      </x:c>
      <x:c r="U45" s="52" t="n">
        <x:f>ROUND(J45*P45,2)</x:f>
        <x:v>80000</x:v>
      </x:c>
      <x:c r="V45" s="52" t="n">
        <x:f>ROUND(J45*S45,2)</x:f>
        <x:v>40000</x:v>
      </x:c>
      <x:c r="W45" s="52" t="n">
        <x:f>ROUND(J45*T45,2)</x:f>
        <x:v>180000</x:v>
      </x:c>
      <x:c r="X45" s="53" t="n">
        <x:v>4</x:v>
      </x:c>
      <x:c r="Y45" s="59" t="str">
        <x:v>SRC-031, SRC-009, SRC-010, SRC-011</x:v>
      </x:c>
      <x:c r="Z45" s="59" t="str">
        <x:v>需正式询价；当前值仅作预算占位或低可信市场锚点</x:v>
      </x:c>
      <x:c r="AA45" s="59" t="str">
        <x:v>扩增效果/琼脂糖电泳</x:v>
      </x:c>
      <x:c r="AB4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6">
      <x:c r="A46" t="str">
        <x:v>CAPEX-041</x:v>
      </x:c>
      <x:c r="B46" t="str">
        <x:v>通用设备</x:v>
      </x:c>
      <x:c r="C46" t="str">
        <x:v>冷藏</x:v>
      </x:c>
      <x:c r="D46" t="str">
        <x:v>实验室冰箱与-20C冰柜</x:v>
      </x:c>
      <x:c r="E46" t="str">
        <x:v>QC、留样和短期暂存</x:v>
      </x:c>
      <x:c r="F46" t="str">
        <x:v>台</x:v>
      </x:c>
      <x:c r="G46" s="49" t="n">
        <x:v>4</x:v>
      </x:c>
      <x:c r="H46" s="49" t="n">
        <x:v>6</x:v>
      </x:c>
      <x:c r="I46" s="49" t="n">
        <x:v>10</x:v>
      </x:c>
      <x:c r="J46" s="50" t="n">
        <x:f>IF('02_假设与情景'!$B$5="S1",G46,IF('02_假设与情景'!$B$5="S2",H46,I46))</x:f>
        <x:v>6</x:v>
      </x:c>
      <x:c r="K46" s="56" t="n">
        <x:v>25000</x:v>
      </x:c>
      <x:c r="L46" s="29" t="str">
        <x:v>CNY</x:v>
      </x:c>
      <x:c r="M46" s="29" t="str">
        <x:v>原始来源税态未统一披露；模型按含税到厂预算口径归一化，正式询价复核</x:v>
      </x:c>
      <x:c r="N46" s="29"/>
      <x:c r="O46" s="29"/>
      <x:c r="P46" s="57" t="n">
        <x:v>25000</x:v>
      </x:c>
      <x:c r="Q46" s="57" t="n">
        <x:v>24015.3698</x:v>
      </x:c>
      <x:c r="R46" s="57" t="n">
        <x:v>24707.1706</x:v>
      </x:c>
      <x:c r="S46" s="57" t="n">
        <x:v>12000</x:v>
      </x:c>
      <x:c r="T46" s="57" t="n">
        <x:v>60000</x:v>
      </x:c>
      <x:c r="U46" s="52" t="n">
        <x:f>ROUND(J46*P46,2)</x:f>
        <x:v>150000</x:v>
      </x:c>
      <x:c r="V46" s="52" t="n">
        <x:f>ROUND(J46*S46,2)</x:f>
        <x:v>72000</x:v>
      </x:c>
      <x:c r="W46" s="52" t="n">
        <x:f>ROUND(J46*T46,2)</x:f>
        <x:v>360000</x:v>
      </x:c>
      <x:c r="X46" s="53" t="n">
        <x:v>3</x:v>
      </x:c>
      <x:c r="Y46" s="59" t="str">
        <x:v>SRC-028, SRC-009, SRC-010, SRC-011</x:v>
      </x:c>
      <x:c r="Z46" s="59" t="str">
        <x:v>需正式询价；当前值仅作预算占位或低可信市场锚点</x:v>
      </x:c>
      <x:c r="AA46" s="59" t="str">
        <x:v>检验区/留样室/冷链</x:v>
      </x:c>
      <x:c r="AB4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7">
      <x:c r="A47" t="str">
        <x:v>CAPEX-042</x:v>
      </x:c>
      <x:c r="B47" t="str">
        <x:v>通用设备</x:v>
      </x:c>
      <x:c r="C47" t="str">
        <x:v>称量</x:v>
      </x:c>
      <x:c r="D47" t="str">
        <x:v>分析天平与微量天平</x:v>
      </x:c>
      <x:c r="E47" t="str">
        <x:v>原料称量、分装复核和校准砝码</x:v>
      </x:c>
      <x:c r="F47" t="str">
        <x:v>套</x:v>
      </x:c>
      <x:c r="G47" s="49" t="n">
        <x:v>2</x:v>
      </x:c>
      <x:c r="H47" s="49" t="n">
        <x:v>3</x:v>
      </x:c>
      <x:c r="I47" s="49" t="n">
        <x:v>5</x:v>
      </x:c>
      <x:c r="J47" s="50" t="n">
        <x:f>IF('02_假设与情景'!$B$5="S1",G47,IF('02_假设与情景'!$B$5="S2",H47,I47))</x:f>
        <x:v>3</x:v>
      </x:c>
      <x:c r="K47" s="56" t="n">
        <x:v>30000</x:v>
      </x:c>
      <x:c r="L47" s="29" t="str">
        <x:v>CNY</x:v>
      </x:c>
      <x:c r="M47" s="29" t="str">
        <x:v>原始来源税态未统一披露；模型按含税到厂预算口径归一化，正式询价复核</x:v>
      </x:c>
      <x:c r="N47" s="29"/>
      <x:c r="O47" s="29"/>
      <x:c r="P47" s="57" t="n">
        <x:v>30000</x:v>
      </x:c>
      <x:c r="Q47" s="57" t="n">
        <x:v>28818.4438</x:v>
      </x:c>
      <x:c r="R47" s="57" t="n">
        <x:v>29648.6047</x:v>
      </x:c>
      <x:c r="S47" s="57" t="n">
        <x:v>15000</x:v>
      </x:c>
      <x:c r="T47" s="57" t="n">
        <x:v>80000</x:v>
      </x:c>
      <x:c r="U47" s="52" t="n">
        <x:f>ROUND(J47*P47,2)</x:f>
        <x:v>90000</x:v>
      </x:c>
      <x:c r="V47" s="52" t="n">
        <x:f>ROUND(J47*S47,2)</x:f>
        <x:v>45000</x:v>
      </x:c>
      <x:c r="W47" s="52" t="n">
        <x:f>ROUND(J47*T47,2)</x:f>
        <x:v>240000</x:v>
      </x:c>
      <x:c r="X47" s="53" t="n">
        <x:v>3</x:v>
      </x:c>
      <x:c r="Y47" s="59" t="str">
        <x:v>SRC-028, SRC-009, SRC-010, SRC-011</x:v>
      </x:c>
      <x:c r="Z47" s="59" t="str">
        <x:v>需正式询价；当前值仅作预算占位或低可信市场锚点</x:v>
      </x:c>
      <x:c r="AA47" s="59" t="str">
        <x:v>配液/在线称重/理化QC</x:v>
      </x:c>
      <x:c r="AB4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8">
      <x:c r="A48" t="str">
        <x:v>CAPEX-043</x:v>
      </x:c>
      <x:c r="B48" t="str">
        <x:v>通用设备</x:v>
      </x:c>
      <x:c r="C48" t="str">
        <x:v>灭菌</x:v>
      </x:c>
      <x:c r="D48" t="str">
        <x:v>高压蒸汽灭菌器</x:v>
      </x:c>
      <x:c r="E48" t="str">
        <x:v>可重复器具及废弃物预处理</x:v>
      </x:c>
      <x:c r="F48" t="str">
        <x:v>台</x:v>
      </x:c>
      <x:c r="G48" s="49" t="n">
        <x:v>1</x:v>
      </x:c>
      <x:c r="H48" s="49" t="n">
        <x:v>1</x:v>
      </x:c>
      <x:c r="I48" s="49" t="n">
        <x:v>2</x:v>
      </x:c>
      <x:c r="J48" s="50" t="n">
        <x:f>IF('02_假设与情景'!$B$5="S1",G48,IF('02_假设与情景'!$B$5="S2",H48,I48))</x:f>
        <x:v>1</x:v>
      </x:c>
      <x:c r="K48" s="56" t="n">
        <x:v>100000</x:v>
      </x:c>
      <x:c r="L48" s="29" t="str">
        <x:v>CNY</x:v>
      </x:c>
      <x:c r="M48" s="29" t="str">
        <x:v>原始来源税态未统一披露；模型按含税到厂预算口径归一化，正式询价复核</x:v>
      </x:c>
      <x:c r="N48" s="29"/>
      <x:c r="O48" s="29"/>
      <x:c r="P48" s="57" t="n">
        <x:v>100000</x:v>
      </x:c>
      <x:c r="Q48" s="57" t="n">
        <x:v>96061.4793</x:v>
      </x:c>
      <x:c r="R48" s="57" t="n">
        <x:v>98828.6824</x:v>
      </x:c>
      <x:c r="S48" s="57" t="n">
        <x:v>50000</x:v>
      </x:c>
      <x:c r="T48" s="57" t="n">
        <x:v>250000</x:v>
      </x:c>
      <x:c r="U48" s="52" t="n">
        <x:f>ROUND(J48*P48,2)</x:f>
        <x:v>100000</x:v>
      </x:c>
      <x:c r="V48" s="52" t="n">
        <x:f>ROUND(J48*S48,2)</x:f>
        <x:v>50000</x:v>
      </x:c>
      <x:c r="W48" s="52" t="n">
        <x:f>ROUND(J48*T48,2)</x:f>
        <x:v>250000</x:v>
      </x:c>
      <x:c r="X48" s="53" t="n">
        <x:v>4</x:v>
      </x:c>
      <x:c r="Y48" s="59" t="str">
        <x:v>SRC-031, SRC-009, SRC-010, SRC-011</x:v>
      </x:c>
      <x:c r="Z48" s="59" t="str">
        <x:v>需正式询价；当前值仅作预算占位或低可信市场锚点</x:v>
      </x:c>
      <x:c r="AA48" s="59" t="str">
        <x:v>洁净生产/污染控制</x:v>
      </x:c>
      <x:c r="AB4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9">
      <x:c r="A49" t="str">
        <x:v>CAPEX-044</x:v>
      </x:c>
      <x:c r="B49" t="str">
        <x:v>通用设备</x:v>
      </x:c>
      <x:c r="C49" t="str">
        <x:v>生物安全</x:v>
      </x:c>
      <x:c r="D49" t="str">
        <x:v>II级生物安全柜</x:v>
      </x:c>
      <x:c r="E49" t="str">
        <x:v>质粒及对照品操作</x:v>
      </x:c>
      <x:c r="F49" t="str">
        <x:v>台</x:v>
      </x:c>
      <x:c r="G49" s="49" t="n">
        <x:v>1</x:v>
      </x:c>
      <x:c r="H49" s="49" t="n">
        <x:v>2</x:v>
      </x:c>
      <x:c r="I49" s="49" t="n">
        <x:v>3</x:v>
      </x:c>
      <x:c r="J49" s="50" t="n">
        <x:f>IF('02_假设与情景'!$B$5="S1",G49,IF('02_假设与情景'!$B$5="S2",H49,I49))</x:f>
        <x:v>2</x:v>
      </x:c>
      <x:c r="K49" s="56" t="n">
        <x:v>68000</x:v>
      </x:c>
      <x:c r="L49" s="29" t="str">
        <x:v>CNY</x:v>
      </x:c>
      <x:c r="M49" s="29" t="str">
        <x:v>原始来源税态未统一披露；模型按含税到厂预算口径归一化，正式询价复核</x:v>
      </x:c>
      <x:c r="N49" s="29"/>
      <x:c r="O49" s="29"/>
      <x:c r="P49" s="57" t="n">
        <x:v>68000</x:v>
      </x:c>
      <x:c r="Q49" s="57" t="n">
        <x:v>66000</x:v>
      </x:c>
      <x:c r="R49" s="57" t="n">
        <x:v>67500</x:v>
      </x:c>
      <x:c r="S49" s="57" t="n">
        <x:v>55000</x:v>
      </x:c>
      <x:c r="T49" s="57" t="n">
        <x:v>140000</x:v>
      </x:c>
      <x:c r="U49" s="52" t="n">
        <x:f>ROUND(J49*P49,2)</x:f>
        <x:v>136000</x:v>
      </x:c>
      <x:c r="V49" s="52" t="n">
        <x:f>ROUND(J49*S49,2)</x:f>
        <x:v>110000</x:v>
      </x:c>
      <x:c r="W49" s="52" t="n">
        <x:f>ROUND(J49*T49,2)</x:f>
        <x:v>280000</x:v>
      </x:c>
      <x:c r="X49" s="53" t="n">
        <x:v>6</x:v>
      </x:c>
      <x:c r="Y49" s="59" t="str">
        <x:v>SRC-023</x:v>
      </x:c>
      <x:c r="Z49" s="59" t="str">
        <x:v>公开价格锚点；正式采购仍需同规格、同税费和服务范围询价</x:v>
      </x:c>
      <x:c r="AA49" s="59" t="str">
        <x:v>质粒操作区/独立负压</x:v>
      </x:c>
      <x:c r="AB4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0">
      <x:c r="A50" t="str">
        <x:v>CAPEX-045</x:v>
      </x:c>
      <x:c r="B50" t="str">
        <x:v>通用设备</x:v>
      </x:c>
      <x:c r="C50" t="str">
        <x:v>洁净操作</x:v>
      </x:c>
      <x:c r="D50" t="str">
        <x:v>超净工作台</x:v>
      </x:c>
      <x:c r="E50" t="str">
        <x:v>低风险无菌/洁净操作</x:v>
      </x:c>
      <x:c r="F50" t="str">
        <x:v>台</x:v>
      </x:c>
      <x:c r="G50" s="49" t="n">
        <x:v>2</x:v>
      </x:c>
      <x:c r="H50" s="49" t="n">
        <x:v>3</x:v>
      </x:c>
      <x:c r="I50" s="49" t="n">
        <x:v>5</x:v>
      </x:c>
      <x:c r="J50" s="50" t="n">
        <x:f>IF('02_假设与情景'!$B$5="S1",G50,IF('02_假设与情景'!$B$5="S2",H50,I50))</x:f>
        <x:v>3</x:v>
      </x:c>
      <x:c r="K50" s="56" t="n">
        <x:v>20000</x:v>
      </x:c>
      <x:c r="L50" s="29" t="str">
        <x:v>CNY</x:v>
      </x:c>
      <x:c r="M50" s="29" t="str">
        <x:v>原始来源税态未统一披露；模型按含税到厂预算口径归一化，正式询价复核</x:v>
      </x:c>
      <x:c r="N50" s="29"/>
      <x:c r="O50" s="29"/>
      <x:c r="P50" s="57" t="n">
        <x:v>20000</x:v>
      </x:c>
      <x:c r="Q50" s="57" t="n">
        <x:v>19212.2959</x:v>
      </x:c>
      <x:c r="R50" s="57" t="n">
        <x:v>19765.7365</x:v>
      </x:c>
      <x:c r="S50" s="57" t="n">
        <x:v>10000</x:v>
      </x:c>
      <x:c r="T50" s="57" t="n">
        <x:v>50000</x:v>
      </x:c>
      <x:c r="U50" s="52" t="n">
        <x:f>ROUND(J50*P50,2)</x:f>
        <x:v>60000</x:v>
      </x:c>
      <x:c r="V50" s="52" t="n">
        <x:f>ROUND(J50*S50,2)</x:f>
        <x:v>30000</x:v>
      </x:c>
      <x:c r="W50" s="52" t="n">
        <x:f>ROUND(J50*T50,2)</x:f>
        <x:v>150000</x:v>
      </x:c>
      <x:c r="X50" s="53" t="n">
        <x:v>3</x:v>
      </x:c>
      <x:c r="Y50" s="59" t="str">
        <x:v>SRC-028, SRC-009, SRC-010, SRC-011</x:v>
      </x:c>
      <x:c r="Z50" s="59" t="str">
        <x:v>需正式询价；当前值仅作预算占位或低可信市场锚点</x:v>
      </x:c>
      <x:c r="AA50" s="59" t="str">
        <x:v>配制和分装工位</x:v>
      </x:c>
      <x:c r="AB5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1">
      <x:c r="A51" t="str">
        <x:v>CAPEX-046</x:v>
      </x:c>
      <x:c r="B51" t="str">
        <x:v>通用设备</x:v>
      </x:c>
      <x:c r="C51" t="str">
        <x:v>样品处理</x:v>
      </x:c>
      <x:c r="D51" t="str">
        <x:v>离心、混匀、恒温与移液设备包</x:v>
      </x:c>
      <x:c r="E51" t="str">
        <x:v>台式离心机、振荡器、恒温模块、移液器</x:v>
      </x:c>
      <x:c r="F51" t="str">
        <x:v>套</x:v>
      </x:c>
      <x:c r="G51" s="49" t="n">
        <x:v>2</x:v>
      </x:c>
      <x:c r="H51" s="49" t="n">
        <x:v>4</x:v>
      </x:c>
      <x:c r="I51" s="49" t="n">
        <x:v>6</x:v>
      </x:c>
      <x:c r="J51" s="50" t="n">
        <x:f>IF('02_假设与情景'!$B$5="S1",G51,IF('02_假设与情景'!$B$5="S2",H51,I51))</x:f>
        <x:v>4</x:v>
      </x:c>
      <x:c r="K51" s="56" t="n">
        <x:v>80000</x:v>
      </x:c>
      <x:c r="L51" s="29" t="str">
        <x:v>CNY</x:v>
      </x:c>
      <x:c r="M51" s="29" t="str">
        <x:v>原始来源税态未统一披露；模型按含税到厂预算口径归一化，正式询价复核</x:v>
      </x:c>
      <x:c r="N51" s="29"/>
      <x:c r="O51" s="29"/>
      <x:c r="P51" s="57" t="n">
        <x:v>80000</x:v>
      </x:c>
      <x:c r="Q51" s="57" t="n">
        <x:v>76849.1835</x:v>
      </x:c>
      <x:c r="R51" s="57" t="n">
        <x:v>79062.946</x:v>
      </x:c>
      <x:c r="S51" s="57" t="n">
        <x:v>40000</x:v>
      </x:c>
      <x:c r="T51" s="57" t="n">
        <x:v>180000</x:v>
      </x:c>
      <x:c r="U51" s="52" t="n">
        <x:f>ROUND(J51*P51,2)</x:f>
        <x:v>320000</x:v>
      </x:c>
      <x:c r="V51" s="52" t="n">
        <x:f>ROUND(J51*S51,2)</x:f>
        <x:v>160000</x:v>
      </x:c>
      <x:c r="W51" s="52" t="n">
        <x:f>ROUND(J51*T51,2)</x:f>
        <x:v>720000</x:v>
      </x:c>
      <x:c r="X51" s="53" t="n">
        <x:v>3</x:v>
      </x:c>
      <x:c r="Y51" s="59" t="str">
        <x:v>SRC-028, SRC-009, SRC-010, SRC-011</x:v>
      </x:c>
      <x:c r="Z51" s="59" t="str">
        <x:v>需正式询价；当前值仅作预算占位或低可信市场锚点</x:v>
      </x:c>
      <x:c r="AA51" s="59" t="str">
        <x:v>配液/质控/对照品稀释</x:v>
      </x:c>
      <x:c r="AB5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2">
      <x:c r="A52" t="str">
        <x:v>CAPEX-047</x:v>
      </x:c>
      <x:c r="B52" t="str">
        <x:v>QC设备</x:v>
      </x:c>
      <x:c r="C52" t="str">
        <x:v>环境监测</x:v>
      </x:c>
      <x:c r="D52" t="str">
        <x:v>粒子、浮游菌与温湿度监测设备</x:v>
      </x:c>
      <x:c r="E52" t="str">
        <x:v>日常洁净环境监测</x:v>
      </x:c>
      <x:c r="F52" t="str">
        <x:v>套</x:v>
      </x:c>
      <x:c r="G52" s="49" t="n">
        <x:v>1</x:v>
      </x:c>
      <x:c r="H52" s="49" t="n">
        <x:v>2</x:v>
      </x:c>
      <x:c r="I52" s="49" t="n">
        <x:v>3</x:v>
      </x:c>
      <x:c r="J52" s="50" t="n">
        <x:f>IF('02_假设与情景'!$B$5="S1",G52,IF('02_假设与情景'!$B$5="S2",H52,I52))</x:f>
        <x:v>2</x:v>
      </x:c>
      <x:c r="K52" s="56" t="n">
        <x:v>120000</x:v>
      </x:c>
      <x:c r="L52" s="29" t="str">
        <x:v>CNY</x:v>
      </x:c>
      <x:c r="M52" s="29" t="str">
        <x:v>原始来源税态未统一披露；模型按含税到厂预算口径归一化，正式询价复核</x:v>
      </x:c>
      <x:c r="N52" s="29"/>
      <x:c r="O52" s="29"/>
      <x:c r="P52" s="57" t="n">
        <x:v>120000</x:v>
      </x:c>
      <x:c r="Q52" s="57" t="n">
        <x:v>115273.7752</x:v>
      </x:c>
      <x:c r="R52" s="57" t="n">
        <x:v>118594.4189</x:v>
      </x:c>
      <x:c r="S52" s="57" t="n">
        <x:v>60000</x:v>
      </x:c>
      <x:c r="T52" s="57" t="n">
        <x:v>300000</x:v>
      </x:c>
      <x:c r="U52" s="52" t="n">
        <x:f>ROUND(J52*P52,2)</x:f>
        <x:v>240000</x:v>
      </x:c>
      <x:c r="V52" s="52" t="n">
        <x:f>ROUND(J52*S52,2)</x:f>
        <x:v>120000</x:v>
      </x:c>
      <x:c r="W52" s="52" t="n">
        <x:f>ROUND(J52*T52,2)</x:f>
        <x:v>600000</x:v>
      </x:c>
      <x:c r="X52" s="53" t="n">
        <x:v>3</x:v>
      </x:c>
      <x:c r="Y52" s="59" t="str">
        <x:v>SRC-031, SRC-009, SRC-010, SRC-011</x:v>
      </x:c>
      <x:c r="Z52" s="59" t="str">
        <x:v>需正式询价；当前值仅作预算占位或低可信市场锚点</x:v>
      </x:c>
      <x:c r="AA52" s="59" t="str">
        <x:v>空气含尘含菌水平低</x:v>
      </x:c>
      <x:c r="AB5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3">
      <x:c r="A53" t="str">
        <x:v>CAPEX-048</x:v>
      </x:c>
      <x:c r="B53" t="str">
        <x:v>信息化</x:v>
      </x:c>
      <x:c r="C53" t="str">
        <x:v>MES/LIMS</x:v>
      </x:c>
      <x:c r="D53" t="str">
        <x:v>MES、批记录与质量数据系统</x:v>
      </x:c>
      <x:c r="E53" t="str">
        <x:v>批号、物料、检验、放行和追溯</x:v>
      </x:c>
      <x:c r="F53" t="str">
        <x:v>套</x:v>
      </x:c>
      <x:c r="G53" s="49" t="n">
        <x:v>1</x:v>
      </x:c>
      <x:c r="H53" s="49" t="n">
        <x:v>1</x:v>
      </x:c>
      <x:c r="I53" s="49" t="n">
        <x:v>1</x:v>
      </x:c>
      <x:c r="J53" s="50" t="n">
        <x:f>IF('02_假设与情景'!$B$5="S1",G53,IF('02_假设与情景'!$B$5="S2",H53,I53))</x:f>
        <x:v>1</x:v>
      </x:c>
      <x:c r="K53" s="56" t="n">
        <x:v>600000</x:v>
      </x:c>
      <x:c r="L53" s="29" t="str">
        <x:v>CNY</x:v>
      </x:c>
      <x:c r="M53" s="29" t="str">
        <x:v>原始来源税态未统一披露；模型按含税到厂预算口径归一化，正式询价复核</x:v>
      </x:c>
      <x:c r="N53" s="29"/>
      <x:c r="O53" s="29"/>
      <x:c r="P53" s="57" t="n">
        <x:v>600000</x:v>
      </x:c>
      <x:c r="Q53" s="57" t="n">
        <x:v>576368.8761</x:v>
      </x:c>
      <x:c r="R53" s="57" t="n">
        <x:v>592972.0948</x:v>
      </x:c>
      <x:c r="S53" s="57" t="n">
        <x:v>300000</x:v>
      </x:c>
      <x:c r="T53" s="57" t="n">
        <x:v>1500000</x:v>
      </x:c>
      <x:c r="U53" s="52" t="n">
        <x:f>ROUND(J53*P53,2)</x:f>
        <x:v>600000</x:v>
      </x:c>
      <x:c r="V53" s="52" t="n">
        <x:f>ROUND(J53*S53,2)</x:f>
        <x:v>300000</x:v>
      </x:c>
      <x:c r="W53" s="52" t="n">
        <x:f>ROUND(J53*T53,2)</x:f>
        <x:v>1500000</x:v>
      </x:c>
      <x:c r="X53" s="53" t="n">
        <x:v>2</x:v>
      </x:c>
      <x:c r="Y53" s="59" t="str">
        <x:v>SRC-031, SRC-009, SRC-010, SRC-011</x:v>
      </x:c>
      <x:c r="Z53" s="59" t="str">
        <x:v>需正式询价；当前值仅作预算占位或低可信市场锚点</x:v>
      </x:c>
      <x:c r="AA53" s="59" t="str">
        <x:v>MES追溯/GMP记录</x:v>
      </x:c>
      <x:c r="AB5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4">
      <x:c r="A54" t="str">
        <x:v>CAPEX-049</x:v>
      </x:c>
      <x:c r="B54" t="str">
        <x:v>信息化</x:v>
      </x:c>
      <x:c r="C54" t="str">
        <x:v>硬件</x:v>
      </x:c>
      <x:c r="D54" t="str">
        <x:v>服务器、条码、打印及终端</x:v>
      </x:c>
      <x:c r="E54" t="str">
        <x:v>含备份、网络和扫码终端</x:v>
      </x:c>
      <x:c r="F54" t="str">
        <x:v>套</x:v>
      </x:c>
      <x:c r="G54" s="49" t="n">
        <x:v>1</x:v>
      </x:c>
      <x:c r="H54" s="49" t="n">
        <x:v>2</x:v>
      </x:c>
      <x:c r="I54" s="49" t="n">
        <x:v>3</x:v>
      </x:c>
      <x:c r="J54" s="50" t="n">
        <x:f>IF('02_假设与情景'!$B$5="S1",G54,IF('02_假设与情景'!$B$5="S2",H54,I54))</x:f>
        <x:v>2</x:v>
      </x:c>
      <x:c r="K54" s="56" t="n">
        <x:v>150000</x:v>
      </x:c>
      <x:c r="L54" s="29" t="str">
        <x:v>CNY</x:v>
      </x:c>
      <x:c r="M54" s="29" t="str">
        <x:v>原始来源税态未统一披露；模型按含税到厂预算口径归一化，正式询价复核</x:v>
      </x:c>
      <x:c r="N54" s="29"/>
      <x:c r="O54" s="29"/>
      <x:c r="P54" s="57" t="n">
        <x:v>150000</x:v>
      </x:c>
      <x:c r="Q54" s="57" t="n">
        <x:v>144092.219</x:v>
      </x:c>
      <x:c r="R54" s="57" t="n">
        <x:v>148243.0237</x:v>
      </x:c>
      <x:c r="S54" s="57" t="n">
        <x:v>80000</x:v>
      </x:c>
      <x:c r="T54" s="57" t="n">
        <x:v>350000</x:v>
      </x:c>
      <x:c r="U54" s="52" t="n">
        <x:f>ROUND(J54*P54,2)</x:f>
        <x:v>300000</x:v>
      </x:c>
      <x:c r="V54" s="52" t="n">
        <x:f>ROUND(J54*S54,2)</x:f>
        <x:v>160000</x:v>
      </x:c>
      <x:c r="W54" s="52" t="n">
        <x:f>ROUND(J54*T54,2)</x:f>
        <x:v>700000</x:v>
      </x:c>
      <x:c r="X54" s="53" t="n">
        <x:v>3</x:v>
      </x:c>
      <x:c r="Y54" s="59" t="str">
        <x:v>SRC-028, SRC-009, SRC-010, SRC-011</x:v>
      </x:c>
      <x:c r="Z54" s="59" t="str">
        <x:v>需正式询价；当前值仅作预算占位或低可信市场锚点</x:v>
      </x:c>
      <x:c r="AA54" s="59" t="str">
        <x:v>喷码/MES追溯/记录保存</x:v>
      </x:c>
      <x:c r="AB5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5">
      <x:c r="A55" t="str">
        <x:v>CAPEX-050</x:v>
      </x:c>
      <x:c r="B55" t="str">
        <x:v>验证与合规</x:v>
      </x:c>
      <x:c r="C55" t="str">
        <x:v>确认验证</x:v>
      </x:c>
      <x:c r="D55" t="str">
        <x:v>洁净厂房、设备和计算机化系统IQ/OQ/PQ</x:v>
      </x:c>
      <x:c r="E55" t="str">
        <x:v>含第三方检测和验证文件</x:v>
      </x:c>
      <x:c r="F55" t="str">
        <x:v>项</x:v>
      </x:c>
      <x:c r="G55" s="49" t="n">
        <x:v>1</x:v>
      </x:c>
      <x:c r="H55" s="49" t="n">
        <x:v>1</x:v>
      </x:c>
      <x:c r="I55" s="49" t="n">
        <x:v>1</x:v>
      </x:c>
      <x:c r="J55" s="50" t="n">
        <x:f>IF('02_假设与情景'!$B$5="S1",G55,IF('02_假设与情景'!$B$5="S2",H55,I55))</x:f>
        <x:v>1</x:v>
      </x:c>
      <x:c r="K55" s="56" t="n">
        <x:v>1000000</x:v>
      </x:c>
      <x:c r="L55" s="29" t="str">
        <x:v>CNY</x:v>
      </x:c>
      <x:c r="M55" s="29" t="str">
        <x:v>原始来源税态未统一披露；模型按含税到厂预算口径归一化，正式询价复核</x:v>
      </x:c>
      <x:c r="N55" s="29"/>
      <x:c r="O55" s="29"/>
      <x:c r="P55" s="57" t="n">
        <x:v>1000000</x:v>
      </x:c>
      <x:c r="Q55" s="57" t="n">
        <x:v>960614.7935</x:v>
      </x:c>
      <x:c r="R55" s="57" t="n">
        <x:v>988286.8246</x:v>
      </x:c>
      <x:c r="S55" s="57" t="n">
        <x:v>500000</x:v>
      </x:c>
      <x:c r="T55" s="57" t="n">
        <x:v>2000000</x:v>
      </x:c>
      <x:c r="U55" s="52" t="n">
        <x:f>ROUND(J55*P55,2)</x:f>
        <x:v>1000000</x:v>
      </x:c>
      <x:c r="V55" s="52" t="n">
        <x:f>ROUND(J55*S55,2)</x:f>
        <x:v>500000</x:v>
      </x:c>
      <x:c r="W55" s="52" t="n">
        <x:f>ROUND(J55*T55,2)</x:f>
        <x:v>2000000</x:v>
      </x:c>
      <x:c r="X55" s="53" t="n">
        <x:v>2</x:v>
      </x:c>
      <x:c r="Y55" s="59" t="str">
        <x:v>SRC-031, SRC-009, SRC-010, SRC-011</x:v>
      </x:c>
      <x:c r="Z55" s="59" t="str">
        <x:v>需正式询价；当前值仅作预算占位或低可信市场锚点</x:v>
      </x:c>
      <x:c r="AA55" s="59" t="str">
        <x:v>投产前置/批记录/GMP</x:v>
      </x:c>
      <x:c r="AB5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6">
      <x:c r="A56" t="str">
        <x:v>CAPEX-051</x:v>
      </x:c>
      <x:c r="B56" t="str">
        <x:v>项目实施</x:v>
      </x:c>
      <x:c r="C56" t="str">
        <x:v>安装调试</x:v>
      </x:c>
      <x:c r="D56" t="str">
        <x:v>设备运输、安装、调试与培训</x:v>
      </x:c>
      <x:c r="E56" t="str">
        <x:v>不与设备裸机价重复</x:v>
      </x:c>
      <x:c r="F56" t="str">
        <x:v>项</x:v>
      </x:c>
      <x:c r="G56" s="49" t="n">
        <x:v>1</x:v>
      </x:c>
      <x:c r="H56" s="49" t="n">
        <x:v>1</x:v>
      </x:c>
      <x:c r="I56" s="49" t="n">
        <x:v>1</x:v>
      </x:c>
      <x:c r="J56" s="50" t="n">
        <x:f>IF('02_假设与情景'!$B$5="S1",G56,IF('02_假设与情景'!$B$5="S2",H56,I56))</x:f>
        <x:v>1</x:v>
      </x:c>
      <x:c r="K56" s="56" t="n">
        <x:v>800000</x:v>
      </x:c>
      <x:c r="L56" s="29" t="str">
        <x:v>CNY</x:v>
      </x:c>
      <x:c r="M56" s="29" t="str">
        <x:v>原始来源税态未统一披露；模型按含税到厂预算口径归一化，正式询价复核</x:v>
      </x:c>
      <x:c r="N56" s="29"/>
      <x:c r="O56" s="29"/>
      <x:c r="P56" s="57" t="n">
        <x:v>800000</x:v>
      </x:c>
      <x:c r="Q56" s="57" t="n">
        <x:v>768491.8348</x:v>
      </x:c>
      <x:c r="R56" s="57" t="n">
        <x:v>790629.4597</x:v>
      </x:c>
      <x:c r="S56" s="57" t="n">
        <x:v>400000</x:v>
      </x:c>
      <x:c r="T56" s="57" t="n">
        <x:v>1600000</x:v>
      </x:c>
      <x:c r="U56" s="52" t="n">
        <x:f>ROUND(J56*P56,2)</x:f>
        <x:v>800000</x:v>
      </x:c>
      <x:c r="V56" s="52" t="n">
        <x:f>ROUND(J56*S56,2)</x:f>
        <x:v>400000</x:v>
      </x:c>
      <x:c r="W56" s="52" t="n">
        <x:f>ROUND(J56*T56,2)</x:f>
        <x:v>1600000</x:v>
      </x:c>
      <x:c r="X56" s="53" t="n">
        <x:v>2</x:v>
      </x:c>
      <x:c r="Y56" s="59" t="str">
        <x:v>SRC-031, SRC-009, SRC-010, SRC-011</x:v>
      </x:c>
      <x:c r="Z56" s="59" t="str">
        <x:v>需正式询价；当前值仅作预算占位或低可信市场锚点</x:v>
      </x:c>
      <x:c r="AA56" s="59" t="str">
        <x:v>全流程设备投产</x:v>
      </x:c>
      <x:c r="AB5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7">
      <x:c r="A57" t="str">
        <x:v>CAPEX-052</x:v>
      </x:c>
      <x:c r="B57" t="str">
        <x:v>项目实施</x:v>
      </x:c>
      <x:c r="C57" t="str">
        <x:v>项目管理</x:v>
      </x:c>
      <x:c r="D57" t="str">
        <x:v>工程管理、报建、监理与验收</x:v>
      </x:c>
      <x:c r="E57" t="str">
        <x:v>租赁厂房适配和洁净工程交付</x:v>
      </x:c>
      <x:c r="F57" t="str">
        <x:v>项</x:v>
      </x:c>
      <x:c r="G57" s="49" t="n">
        <x:v>1</x:v>
      </x:c>
      <x:c r="H57" s="49" t="n">
        <x:v>1</x:v>
      </x:c>
      <x:c r="I57" s="49" t="n">
        <x:v>1</x:v>
      </x:c>
      <x:c r="J57" s="50" t="n">
        <x:f>IF('02_假设与情景'!$B$5="S1",G57,IF('02_假设与情景'!$B$5="S2",H57,I57))</x:f>
        <x:v>1</x:v>
      </x:c>
      <x:c r="K57" s="56" t="n">
        <x:v>500000</x:v>
      </x:c>
      <x:c r="L57" s="29" t="str">
        <x:v>CNY</x:v>
      </x:c>
      <x:c r="M57" s="29" t="str">
        <x:v>原始来源税态未统一披露；模型按含税到厂预算口径归一化，正式询价复核</x:v>
      </x:c>
      <x:c r="N57" s="29"/>
      <x:c r="O57" s="29"/>
      <x:c r="P57" s="57" t="n">
        <x:v>500000</x:v>
      </x:c>
      <x:c r="Q57" s="57" t="n">
        <x:v>480307.3967</x:v>
      </x:c>
      <x:c r="R57" s="57" t="n">
        <x:v>494143.4122</x:v>
      </x:c>
      <x:c r="S57" s="57" t="n">
        <x:v>250000</x:v>
      </x:c>
      <x:c r="T57" s="57" t="n">
        <x:v>1000000</x:v>
      </x:c>
      <x:c r="U57" s="52" t="n">
        <x:f>ROUND(J57*P57,2)</x:f>
        <x:v>500000</x:v>
      </x:c>
      <x:c r="V57" s="52" t="n">
        <x:f>ROUND(J57*S57,2)</x:f>
        <x:v>250000</x:v>
      </x:c>
      <x:c r="W57" s="52" t="n">
        <x:f>ROUND(J57*T57,2)</x:f>
        <x:v>1000000</x:v>
      </x:c>
      <x:c r="X57" s="53" t="n">
        <x:v>2</x:v>
      </x:c>
      <x:c r="Y57" s="59" t="str">
        <x:v>SRC-031, SRC-009, SRC-010, SRC-011</x:v>
      </x:c>
      <x:c r="Z57" s="59" t="str">
        <x:v>需正式询价；当前值仅作预算占位或低可信市场锚点</x:v>
      </x:c>
      <x:c r="AA57" s="59" t="str">
        <x:v>建厂选址/药监现场核查</x:v>
      </x:c>
      <x:c r="AB5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58">
      <x:c r="A58" s="46" t="str">
        <x:v>CAPEX 总计</x:v>
      </x:c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8" t="n">
        <x:f>ROUND(SUM(U6:U57),2)</x:f>
        <x:v>15503000</x:v>
      </x:c>
      <x:c r="V58" s="48" t="n">
        <x:f>ROUND(SUM(V6:V57),2)</x:f>
        <x:v>9045000</x:v>
      </x:c>
      <x:c r="W58" s="48" t="n">
        <x:f>ROUND(SUM(W6:W57),2)</x:f>
        <x:v>29869000</x:v>
      </x:c>
      <x:c r="X58" s="46"/>
      <x:c r="Y58" s="46"/>
      <x:c r="Z58" s="46"/>
      <x:c r="AA58" s="46"/>
      <x:c r="AB58" s="46"/>
    </x:row>
  </x:sheetData>
  <x:mergeCells>
    <x:mergeCell ref="A1:AB1"/>
    <x:mergeCell ref="A2:AB2"/>
    <x:mergeCell ref="A58:T58"/>
  </x:mergeCells>
  <x:conditionalFormatting sqref="Z6:Z57">
    <x:cfRule type="containsText" dxfId="1" priority="1" operator="containsText" text="需正式询价"/>
  </x:conditionalFormatting>
  <x:conditionalFormatting sqref="X6:X57">
    <x:cfRule type="colorScale" priority="2">
      <x:colorScale>
        <x:cfvo type="min"/>
        <x:cfvo type="percentile" val="50"/>
        <x:cfvo type="max"/>
        <x:color rgb="FFF8BBD0"/>
        <x:color rgb="FFFFF9C4"/>
        <x:color rgb="FFC8E6C9"/>
      </x:colorScale>
    </x:cfRule>
  </x:conditionalFormatting>
  <x:pageMargins left="0.7" right="0.7" top="0.75" bottom="0.75" header="0.3" footer="0.3"/>
  <x:legacyDrawing xmlns:r="http://schemas.openxmlformats.org/officeDocument/2006/relationships" r:id="R810d8c04c5b7472c"/>
  <x:tableParts count="1">
    <x:tablePart xmlns:r="http://schemas.openxmlformats.org/officeDocument/2006/relationships" r:id="R01867ea936424c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24" hidden="0" customWidth="1"/>
    <x:col min="5" max="5" width="36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9" hidden="0" customWidth="1"/>
    <x:col min="13" max="13" width="30" hidden="0" customWidth="1"/>
    <x:col min="14" max="14" width="12" hidden="0" customWidth="1"/>
    <x:col min="15" max="15" width="12" hidden="0" customWidth="1"/>
    <x:col min="16" max="16" width="15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8" hidden="0" customWidth="1"/>
    <x:col min="22" max="22" width="18" hidden="0" customWidth="1"/>
    <x:col min="23" max="23" width="18" hidden="0" customWidth="1"/>
    <x:col min="24" max="24" width="11" hidden="0" customWidth="1"/>
    <x:col min="25" max="25" width="24" hidden="0" customWidth="1"/>
    <x:col min="26" max="26" width="32" hidden="0" customWidth="1"/>
    <x:col min="27" max="27" width="30" hidden="0" customWidth="1"/>
    <x:col min="28" max="28" width="42" hidden="0" customWidth="1"/>
  </x:cols>
  <x:sheetData>
    <x:row r="1" ht="30" customHeight="1">
      <x:c r="A1" s="3" t="str">
        <x:v>年度 OPEX 运营明细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2" customHeight="1">
      <x:c r="A2" s="7" t="str">
        <x:v>选中情景引用 02_假设与情景；31 个可采购/可预算项目。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3">
      <x:c r="A3" s="10" t="str">
        <x:v>当前基准总额</x:v>
      </x:c>
      <x:c r="B3" s="10"/>
      <x:c r="C3" s="10" t="str">
        <x:v>低位总额</x:v>
      </x:c>
      <x:c r="D3" s="10"/>
      <x:c r="E3" s="10" t="str">
        <x:v>高位总额</x:v>
      </x:c>
      <x:c r="F3" s="10"/>
      <x:c r="G3" s="10" t="str">
        <x:v>低可信金额</x:v>
      </x:c>
      <x:c r="H3" s="10"/>
    </x:row>
    <x:row r="4">
      <x:c r="A4" s="48" t="n">
        <x:f>ROUND(SUM(U6:U36),2)</x:f>
        <x:v>13939700</x:v>
      </x:c>
      <x:c r="B4" s="48"/>
      <x:c r="C4" s="48" t="n">
        <x:f>ROUND(SUM(V6:V36),2)</x:f>
        <x:v>9222500</x:v>
      </x:c>
      <x:c r="D4" s="48"/>
      <x:c r="E4" s="48" t="n">
        <x:f>ROUND(SUM(W6:W36),2)</x:f>
        <x:v>24039900</x:v>
      </x:c>
      <x:c r="F4" s="48"/>
      <x:c r="G4" s="48" t="n">
        <x:f>ROUND(SUMIF(X6:X36,"&lt;=4",U6:U36),2)</x:f>
        <x:v>5369000</x:v>
      </x:c>
      <x:c r="H4" s="48"/>
    </x:row>
    <x:row r="5">
      <x:c r="A5" s="25" t="str">
        <x:v>项目ID</x:v>
      </x:c>
      <x:c r="B5" s="26" t="str">
        <x:v>类别</x:v>
      </x:c>
      <x:c r="C5" s="26" t="str">
        <x:v>子类别</x:v>
      </x:c>
      <x:c r="D5" s="26" t="str">
        <x:v>项目</x:v>
      </x:c>
      <x:c r="E5" s="26" t="str">
        <x:v>规格/服务边界</x:v>
      </x:c>
      <x:c r="F5" s="26" t="str">
        <x:v>单位</x:v>
      </x:c>
      <x:c r="G5" s="26" t="str">
        <x:v>S1数量</x:v>
      </x:c>
      <x:c r="H5" s="26" t="str">
        <x:v>S2数量</x:v>
      </x:c>
      <x:c r="I5" s="26" t="str">
        <x:v>S3数量</x:v>
      </x:c>
      <x:c r="J5" s="26" t="str">
        <x:v>选中数量</x:v>
      </x:c>
      <x:c r="K5" s="26" t="str">
        <x:v>原始价</x:v>
      </x:c>
      <x:c r="L5" s="26" t="str">
        <x:v>币种</x:v>
      </x:c>
      <x:c r="M5" s="26" t="str">
        <x:v>税态</x:v>
      </x:c>
      <x:c r="N5" s="26" t="str">
        <x:v>运费</x:v>
      </x:c>
      <x:c r="O5" s="26" t="str">
        <x:v>安装调试</x:v>
      </x:c>
      <x:c r="P5" s="26" t="str">
        <x:v>当前到厂单价</x:v>
      </x:c>
      <x:c r="Q5" s="26" t="str">
        <x:v>2025单价</x:v>
      </x:c>
      <x:c r="R5" s="26" t="str">
        <x:v>2024单价</x:v>
      </x:c>
      <x:c r="S5" s="26" t="str">
        <x:v>低价</x:v>
      </x:c>
      <x:c r="T5" s="26" t="str">
        <x:v>高价</x:v>
      </x:c>
      <x:c r="U5" s="26" t="str">
        <x:v>当前金额</x:v>
      </x:c>
      <x:c r="V5" s="26" t="str">
        <x:v>低位金额</x:v>
      </x:c>
      <x:c r="W5" s="26" t="str">
        <x:v>高位金额</x:v>
      </x:c>
      <x:c r="X5" s="26" t="str">
        <x:v>当前可信度</x:v>
      </x:c>
      <x:c r="Y5" s="26" t="str">
        <x:v>来源ID</x:v>
      </x:c>
      <x:c r="Z5" s="26" t="str">
        <x:v>询价状态</x:v>
      </x:c>
      <x:c r="AA5" s="26" t="str">
        <x:v>流程映射</x:v>
      </x:c>
      <x:c r="AB5" s="27" t="str">
        <x:v>备注</x:v>
      </x:c>
    </x:row>
    <x:row r="6">
      <x:c r="A6" t="str">
        <x:v>OPEX-001</x:v>
      </x:c>
      <x:c r="B6" t="str">
        <x:v>场地</x:v>
      </x:c>
      <x:c r="C6" t="str">
        <x:v>租金</x:v>
      </x:c>
      <x:c r="D6" t="str">
        <x:v>产业园标准厂房租金</x:v>
      </x:c>
      <x:c r="E6" t="str">
        <x:v>成都/四川生物医药产业园</x:v>
      </x:c>
      <x:c r="F6" t="str">
        <x:v>m2·年</x:v>
      </x:c>
      <x:c r="G6" s="49" t="n">
        <x:v>800</x:v>
      </x:c>
      <x:c r="H6" s="49" t="n">
        <x:v>1000</x:v>
      </x:c>
      <x:c r="I6" s="49" t="n">
        <x:v>1200</x:v>
      </x:c>
      <x:c r="J6" s="50" t="n">
        <x:f>IF('02_假设与情景'!$B$5="S1",G6,IF('02_假设与情景'!$B$5="S2",H6,I6))</x:f>
        <x:v>1000</x:v>
      </x:c>
      <x:c r="K6" s="56" t="n">
        <x:v>602.4</x:v>
      </x:c>
      <x:c r="L6" s="29" t="str">
        <x:v>CNY</x:v>
      </x:c>
      <x:c r="M6" s="29" t="str">
        <x:v>原始来源税态未统一披露；模型按含税到厂预算口径归一化，正式询价复核</x:v>
      </x:c>
      <x:c r="N6" s="29"/>
      <x:c r="O6" s="29"/>
      <x:c r="P6" s="57" t="n">
        <x:v>602.4</x:v>
      </x:c>
      <x:c r="Q6" s="57" t="n">
        <x:v>579.6</x:v>
      </x:c>
      <x:c r="R6" s="57" t="n">
        <x:v>552</x:v>
      </x:c>
      <x:c r="S6" s="57" t="n">
        <x:v>552</x:v>
      </x:c>
      <x:c r="T6" s="57" t="n">
        <x:v>720</x:v>
      </x:c>
      <x:c r="U6" s="52" t="n">
        <x:f>ROUND(J6*P6,2)</x:f>
        <x:v>602400</x:v>
      </x:c>
      <x:c r="V6" s="52" t="n">
        <x:f>ROUND(J6*S6,2)</x:f>
        <x:v>552000</x:v>
      </x:c>
      <x:c r="W6" s="52" t="n">
        <x:f>ROUND(J6*T6,2)</x:f>
        <x:v>720000</x:v>
      </x:c>
      <x:c r="X6" s="53" t="n">
        <x:v>7</x:v>
      </x:c>
      <x:c r="Y6" s="59" t="str">
        <x:v>SRC-015</x:v>
      </x:c>
      <x:c r="Z6" s="59" t="str">
        <x:v>公开价格锚点；正式采购仍需同规格、同税费和服务范围询价</x:v>
      </x:c>
      <x:c r="AA6" s="59" t="str">
        <x:v>研发+中试租标准化厂房</x:v>
      </x:c>
      <x:c r="AB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7">
      <x:c r="A7" t="str">
        <x:v>OPEX-002</x:v>
      </x:c>
      <x:c r="B7" t="str">
        <x:v>场地</x:v>
      </x:c>
      <x:c r="C7" t="str">
        <x:v>物业</x:v>
      </x:c>
      <x:c r="D7" t="str">
        <x:v>园区物业与公摊服务费</x:v>
      </x:c>
      <x:c r="E7" t="str">
        <x:v>按建筑面积计</x:v>
      </x:c>
      <x:c r="F7" t="str">
        <x:v>m2·年</x:v>
      </x:c>
      <x:c r="G7" s="49" t="n">
        <x:v>800</x:v>
      </x:c>
      <x:c r="H7" s="49" t="n">
        <x:v>1000</x:v>
      </x:c>
      <x:c r="I7" s="49" t="n">
        <x:v>1200</x:v>
      </x:c>
      <x:c r="J7" s="50" t="n">
        <x:f>IF('02_假设与情景'!$B$5="S1",G7,IF('02_假设与情景'!$B$5="S2",H7,I7))</x:f>
        <x:v>1000</x:v>
      </x:c>
      <x:c r="K7" s="56" t="n">
        <x:v>72</x:v>
      </x:c>
      <x:c r="L7" s="29" t="str">
        <x:v>CNY</x:v>
      </x:c>
      <x:c r="M7" s="29" t="str">
        <x:v>原始来源税态未统一披露；模型按含税到厂预算口径归一化，正式询价复核</x:v>
      </x:c>
      <x:c r="N7" s="29"/>
      <x:c r="O7" s="29"/>
      <x:c r="P7" s="57" t="n">
        <x:v>72</x:v>
      </x:c>
      <x:c r="Q7" s="57" t="n">
        <x:v>69.1643</x:v>
      </x:c>
      <x:c r="R7" s="57" t="n">
        <x:v>71.1567</x:v>
      </x:c>
      <x:c r="S7" s="57" t="n">
        <x:v>48</x:v>
      </x:c>
      <x:c r="T7" s="57" t="n">
        <x:v>120</x:v>
      </x:c>
      <x:c r="U7" s="52" t="n">
        <x:f>ROUND(J7*P7,2)</x:f>
        <x:v>72000</x:v>
      </x:c>
      <x:c r="V7" s="52" t="n">
        <x:f>ROUND(J7*S7,2)</x:f>
        <x:v>48000</x:v>
      </x:c>
      <x:c r="W7" s="52" t="n">
        <x:f>ROUND(J7*T7,2)</x:f>
        <x:v>120000</x:v>
      </x:c>
      <x:c r="X7" s="53" t="n">
        <x:v>3</x:v>
      </x:c>
      <x:c r="Y7" s="59" t="str">
        <x:v>SRC-031, SRC-009, SRC-010, SRC-011</x:v>
      </x:c>
      <x:c r="Z7" s="59" t="str">
        <x:v>需正式询价；当前值仅作预算占位或低可信市场锚点</x:v>
      </x:c>
      <x:c r="AA7" s="59" t="str">
        <x:v>产业园标准化厂房</x:v>
      </x:c>
      <x:c r="AB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8">
      <x:c r="A8" t="str">
        <x:v>OPEX-003</x:v>
      </x:c>
      <x:c r="B8" t="str">
        <x:v>人员</x:v>
      </x:c>
      <x:c r="C8" t="str">
        <x:v>生产</x:v>
      </x:c>
      <x:c r="D8" t="str">
        <x:v>生产操作人员</x:v>
      </x:c>
      <x:c r="E8" t="str">
        <x:v>配液、分装、包装和班组管理</x:v>
      </x:c>
      <x:c r="F8" t="str">
        <x:v>FTE·年</x:v>
      </x:c>
      <x:c r="G8" s="49" t="n">
        <x:v>8</x:v>
      </x:c>
      <x:c r="H8" s="49" t="n">
        <x:v>14</x:v>
      </x:c>
      <x:c r="I8" s="49" t="n">
        <x:v>28</x:v>
      </x:c>
      <x:c r="J8" s="50" t="n">
        <x:f>IF('02_假设与情景'!$B$5="S1",G8,IF('02_假设与情景'!$B$5="S2",H8,I8))</x:f>
        <x:v>14</x:v>
      </x:c>
      <x:c r="K8" s="56" t="n">
        <x:v>120000</x:v>
      </x:c>
      <x:c r="L8" s="29" t="str">
        <x:v>CNY</x:v>
      </x:c>
      <x:c r="M8" s="29" t="str">
        <x:v>原始来源税态未统一披露；模型按含税到厂预算口径归一化，正式询价复核</x:v>
      </x:c>
      <x:c r="N8" s="29"/>
      <x:c r="O8" s="29"/>
      <x:c r="P8" s="57" t="n">
        <x:v>120000</x:v>
      </x:c>
      <x:c r="Q8" s="57" t="n">
        <x:v>112000</x:v>
      </x:c>
      <x:c r="R8" s="57" t="n">
        <x:v>106000</x:v>
      </x:c>
      <x:c r="S8" s="57" t="n">
        <x:v>90000</x:v>
      </x:c>
      <x:c r="T8" s="57" t="n">
        <x:v>160000</x:v>
      </x:c>
      <x:c r="U8" s="52" t="n">
        <x:f>ROUND(J8*P8,2)</x:f>
        <x:v>1680000</x:v>
      </x:c>
      <x:c r="V8" s="52" t="n">
        <x:f>ROUND(J8*S8,2)</x:f>
        <x:v>1260000</x:v>
      </x:c>
      <x:c r="W8" s="52" t="n">
        <x:f>ROUND(J8*T8,2)</x:f>
        <x:v>2240000</x:v>
      </x:c>
      <x:c r="X8" s="53" t="n">
        <x:v>7</x:v>
      </x:c>
      <x:c r="Y8" s="59" t="str">
        <x:v>SRC-013, SRC-014</x:v>
      </x:c>
      <x:c r="Z8" s="59" t="str">
        <x:v>公开价格锚点；正式采购仍需同规格、同税费和服务范围询价</x:v>
      </x:c>
      <x:c r="AA8" s="59" t="str">
        <x:v>试剂配制/分装/包装</x:v>
      </x:c>
      <x:c r="AB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9">
      <x:c r="A9" t="str">
        <x:v>OPEX-004</x:v>
      </x:c>
      <x:c r="B9" t="str">
        <x:v>人员</x:v>
      </x:c>
      <x:c r="C9" t="str">
        <x:v>QC</x:v>
      </x:c>
      <x:c r="D9" t="str">
        <x:v>QC检验人员</x:v>
      </x:c>
      <x:c r="E9" t="str">
        <x:v>原料、过程、成品、环境和稳定性</x:v>
      </x:c>
      <x:c r="F9" t="str">
        <x:v>FTE·年</x:v>
      </x:c>
      <x:c r="G9" s="49" t="n">
        <x:v>4</x:v>
      </x:c>
      <x:c r="H9" s="49" t="n">
        <x:v>7</x:v>
      </x:c>
      <x:c r="I9" s="49" t="n">
        <x:v>12</x:v>
      </x:c>
      <x:c r="J9" s="50" t="n">
        <x:f>IF('02_假设与情景'!$B$5="S1",G9,IF('02_假设与情景'!$B$5="S2",H9,I9))</x:f>
        <x:v>7</x:v>
      </x:c>
      <x:c r="K9" s="56" t="n">
        <x:v>165000</x:v>
      </x:c>
      <x:c r="L9" s="29" t="str">
        <x:v>CNY</x:v>
      </x:c>
      <x:c r="M9" s="29" t="str">
        <x:v>原始来源税态未统一披露；模型按含税到厂预算口径归一化，正式询价复核</x:v>
      </x:c>
      <x:c r="N9" s="29"/>
      <x:c r="O9" s="29"/>
      <x:c r="P9" s="57" t="n">
        <x:v>165000</x:v>
      </x:c>
      <x:c r="Q9" s="57" t="n">
        <x:v>157000</x:v>
      </x:c>
      <x:c r="R9" s="57" t="n">
        <x:v>149000</x:v>
      </x:c>
      <x:c r="S9" s="57" t="n">
        <x:v>130000</x:v>
      </x:c>
      <x:c r="T9" s="57" t="n">
        <x:v>220000</x:v>
      </x:c>
      <x:c r="U9" s="52" t="n">
        <x:f>ROUND(J9*P9,2)</x:f>
        <x:v>1155000</x:v>
      </x:c>
      <x:c r="V9" s="52" t="n">
        <x:f>ROUND(J9*S9,2)</x:f>
        <x:v>910000</x:v>
      </x:c>
      <x:c r="W9" s="52" t="n">
        <x:f>ROUND(J9*T9,2)</x:f>
        <x:v>1540000</x:v>
      </x:c>
      <x:c r="X9" s="53" t="n">
        <x:v>7</x:v>
      </x:c>
      <x:c r="Y9" s="59" t="str">
        <x:v>SRC-013, SRC-014</x:v>
      </x:c>
      <x:c r="Z9" s="59" t="str">
        <x:v>公开价格锚点；正式采购仍需同规格、同税费和服务范围询价</x:v>
      </x:c>
      <x:c r="AA9" s="59" t="str">
        <x:v>原辅料入厂/中间质控/终检</x:v>
      </x:c>
      <x:c r="AB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0">
      <x:c r="A10" t="str">
        <x:v>OPEX-005</x:v>
      </x:c>
      <x:c r="B10" t="str">
        <x:v>人员</x:v>
      </x:c>
      <x:c r="C10" t="str">
        <x:v>QA</x:v>
      </x:c>
      <x:c r="D10" t="str">
        <x:v>QA与放行人员</x:v>
      </x:c>
      <x:c r="E10" t="str">
        <x:v>体系、审核、偏差、批记录和放行</x:v>
      </x:c>
      <x:c r="F10" t="str">
        <x:v>FTE·年</x:v>
      </x:c>
      <x:c r="G10" s="49" t="n">
        <x:v>3</x:v>
      </x:c>
      <x:c r="H10" s="49" t="n">
        <x:v>5</x:v>
      </x:c>
      <x:c r="I10" s="49" t="n">
        <x:v>8</x:v>
      </x:c>
      <x:c r="J10" s="50" t="n">
        <x:f>IF('02_假设与情景'!$B$5="S1",G10,IF('02_假设与情景'!$B$5="S2",H10,I10))</x:f>
        <x:v>5</x:v>
      </x:c>
      <x:c r="K10" s="56" t="n">
        <x:v>185000</x:v>
      </x:c>
      <x:c r="L10" s="29" t="str">
        <x:v>CNY</x:v>
      </x:c>
      <x:c r="M10" s="29" t="str">
        <x:v>原始来源税态未统一披露；模型按含税到厂预算口径归一化，正式询价复核</x:v>
      </x:c>
      <x:c r="N10" s="29"/>
      <x:c r="O10" s="29"/>
      <x:c r="P10" s="57" t="n">
        <x:v>185000</x:v>
      </x:c>
      <x:c r="Q10" s="57" t="n">
        <x:v>176000</x:v>
      </x:c>
      <x:c r="R10" s="57" t="n">
        <x:v>167000</x:v>
      </x:c>
      <x:c r="S10" s="57" t="n">
        <x:v>145000</x:v>
      </x:c>
      <x:c r="T10" s="57" t="n">
        <x:v>250000</x:v>
      </x:c>
      <x:c r="U10" s="52" t="n">
        <x:f>ROUND(J10*P10,2)</x:f>
        <x:v>925000</x:v>
      </x:c>
      <x:c r="V10" s="52" t="n">
        <x:f>ROUND(J10*S10,2)</x:f>
        <x:v>725000</x:v>
      </x:c>
      <x:c r="W10" s="52" t="n">
        <x:f>ROUND(J10*T10,2)</x:f>
        <x:v>1250000</x:v>
      </x:c>
      <x:c r="X10" s="53" t="n">
        <x:v>7</x:v>
      </x:c>
      <x:c r="Y10" s="59" t="str">
        <x:v>SRC-013, SRC-014</x:v>
      </x:c>
      <x:c r="Z10" s="59" t="str">
        <x:v>公开价格锚点；正式采购仍需同规格、同税费和服务范围询价</x:v>
      </x:c>
      <x:c r="AA10" s="59" t="str">
        <x:v>GMP记录/成品放行</x:v>
      </x:c>
      <x:c r="AB1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1">
      <x:c r="A11" t="str">
        <x:v>OPEX-006</x:v>
      </x:c>
      <x:c r="B11" t="str">
        <x:v>人员</x:v>
      </x:c>
      <x:c r="C11" t="str">
        <x:v>研发</x:v>
      </x:c>
      <x:c r="D11" t="str">
        <x:v>工艺与产品研发人员</x:v>
      </x:c>
      <x:c r="E11" t="str">
        <x:v>性能优化、问题调查和变更</x:v>
      </x:c>
      <x:c r="F11" t="str">
        <x:v>FTE·年</x:v>
      </x:c>
      <x:c r="G11" s="49" t="n">
        <x:v>4</x:v>
      </x:c>
      <x:c r="H11" s="49" t="n">
        <x:v>6</x:v>
      </x:c>
      <x:c r="I11" s="49" t="n">
        <x:v>10</x:v>
      </x:c>
      <x:c r="J11" s="50" t="n">
        <x:f>IF('02_假设与情景'!$B$5="S1",G11,IF('02_假设与情景'!$B$5="S2",H11,I11))</x:f>
        <x:v>6</x:v>
      </x:c>
      <x:c r="K11" s="56" t="n">
        <x:v>200000</x:v>
      </x:c>
      <x:c r="L11" s="29" t="str">
        <x:v>CNY</x:v>
      </x:c>
      <x:c r="M11" s="29" t="str">
        <x:v>原始来源税态未统一披露；模型按含税到厂预算口径归一化，正式询价复核</x:v>
      </x:c>
      <x:c r="N11" s="29"/>
      <x:c r="O11" s="29"/>
      <x:c r="P11" s="57" t="n">
        <x:v>200000</x:v>
      </x:c>
      <x:c r="Q11" s="57" t="n">
        <x:v>190000</x:v>
      </x:c>
      <x:c r="R11" s="57" t="n">
        <x:v>181000</x:v>
      </x:c>
      <x:c r="S11" s="57" t="n">
        <x:v>150000</x:v>
      </x:c>
      <x:c r="T11" s="57" t="n">
        <x:v>300000</x:v>
      </x:c>
      <x:c r="U11" s="52" t="n">
        <x:f>ROUND(J11*P11,2)</x:f>
        <x:v>1200000</x:v>
      </x:c>
      <x:c r="V11" s="52" t="n">
        <x:f>ROUND(J11*S11,2)</x:f>
        <x:v>900000</x:v>
      </x:c>
      <x:c r="W11" s="52" t="n">
        <x:f>ROUND(J11*T11,2)</x:f>
        <x:v>1800000</x:v>
      </x:c>
      <x:c r="X11" s="53" t="n">
        <x:v>7</x:v>
      </x:c>
      <x:c r="Y11" s="59" t="str">
        <x:v>SRC-013, SRC-014</x:v>
      </x:c>
      <x:c r="Z11" s="59" t="str">
        <x:v>公开价格锚点；正式采购仍需同规格、同税费和服务范围询价</x:v>
      </x:c>
      <x:c r="AA11" s="59" t="str">
        <x:v>研发+中试阶段</x:v>
      </x:c>
      <x:c r="AB1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2">
      <x:c r="A12" t="str">
        <x:v>OPEX-007</x:v>
      </x:c>
      <x:c r="B12" t="str">
        <x:v>人员</x:v>
      </x:c>
      <x:c r="C12" t="str">
        <x:v>设备与EHS</x:v>
      </x:c>
      <x:c r="D12" t="str">
        <x:v>设备工程、厂务和EHS人员</x:v>
      </x:c>
      <x:c r="E12" t="str">
        <x:v>维护、公用工程、安全环保</x:v>
      </x:c>
      <x:c r="F12" t="str">
        <x:v>FTE·年</x:v>
      </x:c>
      <x:c r="G12" s="49" t="n">
        <x:v>3</x:v>
      </x:c>
      <x:c r="H12" s="49" t="n">
        <x:v>5</x:v>
      </x:c>
      <x:c r="I12" s="49" t="n">
        <x:v>8</x:v>
      </x:c>
      <x:c r="J12" s="50" t="n">
        <x:f>IF('02_假设与情景'!$B$5="S1",G12,IF('02_假设与情景'!$B$5="S2",H12,I12))</x:f>
        <x:v>5</x:v>
      </x:c>
      <x:c r="K12" s="56" t="n">
        <x:v>165000</x:v>
      </x:c>
      <x:c r="L12" s="29" t="str">
        <x:v>CNY</x:v>
      </x:c>
      <x:c r="M12" s="29" t="str">
        <x:v>原始来源税态未统一披露；模型按含税到厂预算口径归一化，正式询价复核</x:v>
      </x:c>
      <x:c r="N12" s="29"/>
      <x:c r="O12" s="29"/>
      <x:c r="P12" s="57" t="n">
        <x:v>165000</x:v>
      </x:c>
      <x:c r="Q12" s="57" t="n">
        <x:v>157000</x:v>
      </x:c>
      <x:c r="R12" s="57" t="n">
        <x:v>149000</x:v>
      </x:c>
      <x:c r="S12" s="57" t="n">
        <x:v>125000</x:v>
      </x:c>
      <x:c r="T12" s="57" t="n">
        <x:v>230000</x:v>
      </x:c>
      <x:c r="U12" s="52" t="n">
        <x:f>ROUND(J12*P12,2)</x:f>
        <x:v>825000</x:v>
      </x:c>
      <x:c r="V12" s="52" t="n">
        <x:f>ROUND(J12*S12,2)</x:f>
        <x:v>625000</x:v>
      </x:c>
      <x:c r="W12" s="52" t="n">
        <x:f>ROUND(J12*T12,2)</x:f>
        <x:v>1150000</x:v>
      </x:c>
      <x:c r="X12" s="53" t="n">
        <x:v>7</x:v>
      </x:c>
      <x:c r="Y12" s="59" t="str">
        <x:v>SRC-013, SRC-014</x:v>
      </x:c>
      <x:c r="Z12" s="59" t="str">
        <x:v>公开价格锚点；正式采购仍需同规格、同税费和服务范围询价</x:v>
      </x:c>
      <x:c r="AA12" s="59" t="str">
        <x:v>双回路供电/污水/危废/设备</x:v>
      </x:c>
      <x:c r="AB1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3">
      <x:c r="A13" t="str">
        <x:v>OPEX-008</x:v>
      </x:c>
      <x:c r="B13" t="str">
        <x:v>人员</x:v>
      </x:c>
      <x:c r="C13" t="str">
        <x:v>仓储物流</x:v>
      </x:c>
      <x:c r="D13" t="str">
        <x:v>仓储、物料和冷链人员</x:v>
      </x:c>
      <x:c r="E13" t="str">
        <x:v>收货、状态管理、发货</x:v>
      </x:c>
      <x:c r="F13" t="str">
        <x:v>FTE·年</x:v>
      </x:c>
      <x:c r="G13" s="49" t="n">
        <x:v>2</x:v>
      </x:c>
      <x:c r="H13" s="49" t="n">
        <x:v>4</x:v>
      </x:c>
      <x:c r="I13" s="49" t="n">
        <x:v>7</x:v>
      </x:c>
      <x:c r="J13" s="50" t="n">
        <x:f>IF('02_假设与情景'!$B$5="S1",G13,IF('02_假设与情景'!$B$5="S2",H13,I13))</x:f>
        <x:v>4</x:v>
      </x:c>
      <x:c r="K13" s="56" t="n">
        <x:v>115000</x:v>
      </x:c>
      <x:c r="L13" s="29" t="str">
        <x:v>CNY</x:v>
      </x:c>
      <x:c r="M13" s="29" t="str">
        <x:v>原始来源税态未统一披露；模型按含税到厂预算口径归一化，正式询价复核</x:v>
      </x:c>
      <x:c r="N13" s="29"/>
      <x:c r="O13" s="29"/>
      <x:c r="P13" s="57" t="n">
        <x:v>115000</x:v>
      </x:c>
      <x:c r="Q13" s="57" t="n">
        <x:v>109000</x:v>
      </x:c>
      <x:c r="R13" s="57" t="n">
        <x:v>104000</x:v>
      </x:c>
      <x:c r="S13" s="57" t="n">
        <x:v>85000</x:v>
      </x:c>
      <x:c r="T13" s="57" t="n">
        <x:v>160000</x:v>
      </x:c>
      <x:c r="U13" s="52" t="n">
        <x:f>ROUND(J13*P13,2)</x:f>
        <x:v>460000</x:v>
      </x:c>
      <x:c r="V13" s="52" t="n">
        <x:f>ROUND(J13*S13,2)</x:f>
        <x:v>340000</x:v>
      </x:c>
      <x:c r="W13" s="52" t="n">
        <x:f>ROUND(J13*T13,2)</x:f>
        <x:v>640000</x:v>
      </x:c>
      <x:c r="X13" s="53" t="n">
        <x:v>7</x:v>
      </x:c>
      <x:c r="Y13" s="59" t="str">
        <x:v>SRC-013, SRC-014</x:v>
      </x:c>
      <x:c r="Z13" s="59" t="str">
        <x:v>公开价格锚点；正式采购仍需同规格、同税费和服务范围询价</x:v>
      </x:c>
      <x:c r="AA13" s="59" t="str">
        <x:v>仓储系统/冷链出库</x:v>
      </x:c>
      <x:c r="AB1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4">
      <x:c r="A14" t="str">
        <x:v>OPEX-009</x:v>
      </x:c>
      <x:c r="B14" t="str">
        <x:v>人员</x:v>
      </x:c>
      <x:c r="C14" t="str">
        <x:v>法规注册</x:v>
      </x:c>
      <x:c r="D14" t="str">
        <x:v>法规、注册与临床支持人员</x:v>
      </x:c>
      <x:c r="E14" t="str">
        <x:v>注册资料、变更和合规沟通</x:v>
      </x:c>
      <x:c r="F14" t="str">
        <x:v>FTE·年</x:v>
      </x:c>
      <x:c r="G14" s="49" t="n">
        <x:v>2</x:v>
      </x:c>
      <x:c r="H14" s="49" t="n">
        <x:v>3</x:v>
      </x:c>
      <x:c r="I14" s="49" t="n">
        <x:v>5</x:v>
      </x:c>
      <x:c r="J14" s="50" t="n">
        <x:f>IF('02_假设与情景'!$B$5="S1",G14,IF('02_假设与情景'!$B$5="S2",H14,I14))</x:f>
        <x:v>3</x:v>
      </x:c>
      <x:c r="K14" s="56" t="n">
        <x:v>200000</x:v>
      </x:c>
      <x:c r="L14" s="29" t="str">
        <x:v>CNY</x:v>
      </x:c>
      <x:c r="M14" s="29" t="str">
        <x:v>原始来源税态未统一披露；模型按含税到厂预算口径归一化，正式询价复核</x:v>
      </x:c>
      <x:c r="N14" s="29"/>
      <x:c r="O14" s="29"/>
      <x:c r="P14" s="57" t="n">
        <x:v>200000</x:v>
      </x:c>
      <x:c r="Q14" s="57" t="n">
        <x:v>190000</x:v>
      </x:c>
      <x:c r="R14" s="57" t="n">
        <x:v>181000</x:v>
      </x:c>
      <x:c r="S14" s="57" t="n">
        <x:v>150000</x:v>
      </x:c>
      <x:c r="T14" s="57" t="n">
        <x:v>300000</x:v>
      </x:c>
      <x:c r="U14" s="52" t="n">
        <x:f>ROUND(J14*P14,2)</x:f>
        <x:v>600000</x:v>
      </x:c>
      <x:c r="V14" s="52" t="n">
        <x:f>ROUND(J14*S14,2)</x:f>
        <x:v>450000</x:v>
      </x:c>
      <x:c r="W14" s="52" t="n">
        <x:f>ROUND(J14*T14,2)</x:f>
        <x:v>900000</x:v>
      </x:c>
      <x:c r="X14" s="53" t="n">
        <x:v>7</x:v>
      </x:c>
      <x:c r="Y14" s="59" t="str">
        <x:v>SRC-013, SRC-014</x:v>
      </x:c>
      <x:c r="Z14" s="59" t="str">
        <x:v>公开价格锚点；正式采购仍需同规格、同税费和服务范围询价</x:v>
      </x:c>
      <x:c r="AA14" s="59" t="str">
        <x:v>药监现场核查/临床模拟流程</x:v>
      </x:c>
      <x:c r="AB1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5">
      <x:c r="A15" t="str">
        <x:v>OPEX-010</x:v>
      </x:c>
      <x:c r="B15" t="str">
        <x:v>人员</x:v>
      </x:c>
      <x:c r="C15" t="str">
        <x:v>管理行政</x:v>
      </x:c>
      <x:c r="D15" t="str">
        <x:v>财务、采购、HR与行政</x:v>
      </x:c>
      <x:c r="E15" t="str">
        <x:v>共享或专职配置</x:v>
      </x:c>
      <x:c r="F15" t="str">
        <x:v>FTE·年</x:v>
      </x:c>
      <x:c r="G15" s="49" t="n">
        <x:v>3</x:v>
      </x:c>
      <x:c r="H15" s="49" t="n">
        <x:v>5</x:v>
      </x:c>
      <x:c r="I15" s="49" t="n">
        <x:v>8</x:v>
      </x:c>
      <x:c r="J15" s="50" t="n">
        <x:f>IF('02_假设与情景'!$B$5="S1",G15,IF('02_假设与情景'!$B$5="S2",H15,I15))</x:f>
        <x:v>5</x:v>
      </x:c>
      <x:c r="K15" s="56" t="n">
        <x:v>135000</x:v>
      </x:c>
      <x:c r="L15" s="29" t="str">
        <x:v>CNY</x:v>
      </x:c>
      <x:c r="M15" s="29" t="str">
        <x:v>原始来源税态未统一披露；模型按含税到厂预算口径归一化，正式询价复核</x:v>
      </x:c>
      <x:c r="N15" s="29"/>
      <x:c r="O15" s="29"/>
      <x:c r="P15" s="57" t="n">
        <x:v>135000</x:v>
      </x:c>
      <x:c r="Q15" s="57" t="n">
        <x:v>128000</x:v>
      </x:c>
      <x:c r="R15" s="57" t="n">
        <x:v>122000</x:v>
      </x:c>
      <x:c r="S15" s="57" t="n">
        <x:v>100000</x:v>
      </x:c>
      <x:c r="T15" s="57" t="n">
        <x:v>190000</x:v>
      </x:c>
      <x:c r="U15" s="52" t="n">
        <x:f>ROUND(J15*P15,2)</x:f>
        <x:v>675000</x:v>
      </x:c>
      <x:c r="V15" s="52" t="n">
        <x:f>ROUND(J15*S15,2)</x:f>
        <x:v>500000</x:v>
      </x:c>
      <x:c r="W15" s="52" t="n">
        <x:f>ROUND(J15*T15,2)</x:f>
        <x:v>950000</x:v>
      </x:c>
      <x:c r="X15" s="53" t="n">
        <x:v>7</x:v>
      </x:c>
      <x:c r="Y15" s="59" t="str">
        <x:v>SRC-013, SRC-014</x:v>
      </x:c>
      <x:c r="Z15" s="59" t="str">
        <x:v>公开价格锚点；正式采购仍需同规格、同税费和服务范围询价</x:v>
      </x:c>
      <x:c r="AA15" s="59" t="str">
        <x:v>公司运营支持</x:v>
      </x:c>
      <x:c r="AB1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6">
      <x:c r="A16" t="str">
        <x:v>OPEX-011</x:v>
      </x:c>
      <x:c r="B16" t="str">
        <x:v>公用事业</x:v>
      </x:c>
      <x:c r="C16" t="str">
        <x:v>用水</x:v>
      </x:c>
      <x:c r="D16" t="str">
        <x:v>市政水、纯化水制备和排水</x:v>
      </x:c>
      <x:c r="E16" t="str">
        <x:v>按年综合估算</x:v>
      </x:c>
      <x:c r="F16" t="str">
        <x:v>m3</x:v>
      </x:c>
      <x:c r="G16" s="49" t="n">
        <x:v>2000</x:v>
      </x:c>
      <x:c r="H16" s="49" t="n">
        <x:v>5000</x:v>
      </x:c>
      <x:c r="I16" s="49" t="n">
        <x:v>10000</x:v>
      </x:c>
      <x:c r="J16" s="50" t="n">
        <x:f>IF('02_假设与情景'!$B$5="S1",G16,IF('02_假设与情景'!$B$5="S2",H16,I16))</x:f>
        <x:v>5000</x:v>
      </x:c>
      <x:c r="K16" s="56" t="n">
        <x:v>4.7</x:v>
      </x:c>
      <x:c r="L16" s="29" t="str">
        <x:v>CNY</x:v>
      </x:c>
      <x:c r="M16" s="29" t="str">
        <x:v>原始来源税态未统一披露；模型按含税到厂预算口径归一化，正式询价复核</x:v>
      </x:c>
      <x:c r="N16" s="29"/>
      <x:c r="O16" s="29"/>
      <x:c r="P16" s="57" t="n">
        <x:v>4.7</x:v>
      </x:c>
      <x:c r="Q16" s="57" t="n">
        <x:v>4.55</x:v>
      </x:c>
      <x:c r="R16" s="57" t="n">
        <x:v>4.4</x:v>
      </x:c>
      <x:c r="S16" s="57" t="n">
        <x:v>4.3</x:v>
      </x:c>
      <x:c r="T16" s="57" t="n">
        <x:v>5.5</x:v>
      </x:c>
      <x:c r="U16" s="52" t="n">
        <x:f>ROUND(J16*P16,2)</x:f>
        <x:v>23500</x:v>
      </x:c>
      <x:c r="V16" s="52" t="n">
        <x:f>ROUND(J16*S16,2)</x:f>
        <x:v>21500</x:v>
      </x:c>
      <x:c r="W16" s="52" t="n">
        <x:f>ROUND(J16*T16,2)</x:f>
        <x:v>27500</x:v>
      </x:c>
      <x:c r="X16" s="53" t="n">
        <x:v>5</x:v>
      </x:c>
      <x:c r="Y16" s="59" t="str">
        <x:v>SRC-016</x:v>
      </x:c>
      <x:c r="Z16" s="59" t="str">
        <x:v>公开价格锚点；正式采购仍需同规格、同税费和服务范围询价</x:v>
      </x:c>
      <x:c r="AA16" s="59" t="str">
        <x:v>市政自来水/纯化水</x:v>
      </x:c>
      <x:c r="AB1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7">
      <x:c r="A17" t="str">
        <x:v>OPEX-012</x:v>
      </x:c>
      <x:c r="B17" t="str">
        <x:v>公用事业</x:v>
      </x:c>
      <x:c r="C17" t="str">
        <x:v>生产用电</x:v>
      </x:c>
      <x:c r="D17" t="str">
        <x:v>生产、检验和办公基础电耗</x:v>
      </x:c>
      <x:c r="E17" t="str">
        <x:v>不含HVAC和冷库独立电耗</x:v>
      </x:c>
      <x:c r="F17" t="str">
        <x:v>kWh</x:v>
      </x:c>
      <x:c r="G17" s="49" t="n">
        <x:v>120000</x:v>
      </x:c>
      <x:c r="H17" s="49" t="n">
        <x:v>220000</x:v>
      </x:c>
      <x:c r="I17" s="49" t="n">
        <x:v>450000</x:v>
      </x:c>
      <x:c r="J17" s="50" t="n">
        <x:f>IF('02_假设与情景'!$B$5="S1",G17,IF('02_假设与情景'!$B$5="S2",H17,I17))</x:f>
        <x:v>220000</x:v>
      </x:c>
      <x:c r="K17" s="56" t="n">
        <x:v>0.59</x:v>
      </x:c>
      <x:c r="L17" s="29" t="str">
        <x:v>CNY</x:v>
      </x:c>
      <x:c r="M17" s="29" t="str">
        <x:v>原始来源税态未统一披露；模型按含税到厂预算口径归一化，正式询价复核</x:v>
      </x:c>
      <x:c r="N17" s="29"/>
      <x:c r="O17" s="29"/>
      <x:c r="P17" s="57" t="n">
        <x:v>0.59</x:v>
      </x:c>
      <x:c r="Q17" s="57" t="n">
        <x:v>0.57</x:v>
      </x:c>
      <x:c r="R17" s="57" t="n">
        <x:v>0.59</x:v>
      </x:c>
      <x:c r="S17" s="57" t="n">
        <x:v>0.5</x:v>
      </x:c>
      <x:c r="T17" s="57" t="n">
        <x:v>0.72</x:v>
      </x:c>
      <x:c r="U17" s="52" t="n">
        <x:f>ROUND(J17*P17,2)</x:f>
        <x:v>129800</x:v>
      </x:c>
      <x:c r="V17" s="52" t="n">
        <x:f>ROUND(J17*S17,2)</x:f>
        <x:v>110000</x:v>
      </x:c>
      <x:c r="W17" s="52" t="n">
        <x:f>ROUND(J17*T17,2)</x:f>
        <x:v>158400</x:v>
      </x:c>
      <x:c r="X17" s="53" t="n">
        <x:v>9</x:v>
      </x:c>
      <x:c r="Y17" s="59" t="str">
        <x:v>SRC-012</x:v>
      </x:c>
      <x:c r="Z17" s="59" t="str">
        <x:v>公开价格锚点；正式采购仍需同规格、同税费和服务范围询价</x:v>
      </x:c>
      <x:c r="AA17" s="59" t="str">
        <x:v>生产设备/检验区</x:v>
      </x:c>
      <x:c r="AB1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8">
      <x:c r="A18" t="str">
        <x:v>OPEX-013</x:v>
      </x:c>
      <x:c r="B18" t="str">
        <x:v>公用事业</x:v>
      </x:c>
      <x:c r="C18" t="str">
        <x:v>HVAC电耗</x:v>
      </x:c>
      <x:c r="D18" t="str">
        <x:v>洁净HVAC全年电耗</x:v>
      </x:c>
      <x:c r="E18" t="str">
        <x:v>按服务面积和运行时长</x:v>
      </x:c>
      <x:c r="F18" t="str">
        <x:v>kWh</x:v>
      </x:c>
      <x:c r="G18" s="49" t="n">
        <x:v>240000</x:v>
      </x:c>
      <x:c r="H18" s="49" t="n">
        <x:v>380000</x:v>
      </x:c>
      <x:c r="I18" s="49" t="n">
        <x:v>650000</x:v>
      </x:c>
      <x:c r="J18" s="50" t="n">
        <x:f>IF('02_假设与情景'!$B$5="S1",G18,IF('02_假设与情景'!$B$5="S2",H18,I18))</x:f>
        <x:v>380000</x:v>
      </x:c>
      <x:c r="K18" s="56" t="n">
        <x:v>0.59</x:v>
      </x:c>
      <x:c r="L18" s="29" t="str">
        <x:v>CNY</x:v>
      </x:c>
      <x:c r="M18" s="29" t="str">
        <x:v>原始来源税态未统一披露；模型按含税到厂预算口径归一化，正式询价复核</x:v>
      </x:c>
      <x:c r="N18" s="29"/>
      <x:c r="O18" s="29"/>
      <x:c r="P18" s="57" t="n">
        <x:v>0.59</x:v>
      </x:c>
      <x:c r="Q18" s="57" t="n">
        <x:v>0.57</x:v>
      </x:c>
      <x:c r="R18" s="57" t="n">
        <x:v>0.59</x:v>
      </x:c>
      <x:c r="S18" s="57" t="n">
        <x:v>0.5</x:v>
      </x:c>
      <x:c r="T18" s="57" t="n">
        <x:v>0.72</x:v>
      </x:c>
      <x:c r="U18" s="52" t="n">
        <x:f>ROUND(J18*P18,2)</x:f>
        <x:v>224200</x:v>
      </x:c>
      <x:c r="V18" s="52" t="n">
        <x:f>ROUND(J18*S18,2)</x:f>
        <x:v>190000</x:v>
      </x:c>
      <x:c r="W18" s="52" t="n">
        <x:f>ROUND(J18*T18,2)</x:f>
        <x:v>273600</x:v>
      </x:c>
      <x:c r="X18" s="53" t="n">
        <x:v>9</x:v>
      </x:c>
      <x:c r="Y18" s="59" t="str">
        <x:v>SRC-012</x:v>
      </x:c>
      <x:c r="Z18" s="59" t="str">
        <x:v>公开价格锚点；正式采购仍需同规格、同税费和服务范围询价</x:v>
      </x:c>
      <x:c r="AA18" s="59" t="str">
        <x:v>洁净空调/空气控制</x:v>
      </x:c>
      <x:c r="AB1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19">
      <x:c r="A19" t="str">
        <x:v>OPEX-014</x:v>
      </x:c>
      <x:c r="B19" t="str">
        <x:v>公用事业</x:v>
      </x:c>
      <x:c r="C19" t="str">
        <x:v>冷库电耗</x:v>
      </x:c>
      <x:c r="D19" t="str">
        <x:v>-20C与2-8C冷库电耗</x:v>
      </x:c>
      <x:c r="E19" t="str">
        <x:v>含备用和化霜</x:v>
      </x:c>
      <x:c r="F19" t="str">
        <x:v>kWh</x:v>
      </x:c>
      <x:c r="G19" s="49" t="n">
        <x:v>70000</x:v>
      </x:c>
      <x:c r="H19" s="49" t="n">
        <x:v>120000</x:v>
      </x:c>
      <x:c r="I19" s="49" t="n">
        <x:v>240000</x:v>
      </x:c>
      <x:c r="J19" s="50" t="n">
        <x:f>IF('02_假设与情景'!$B$5="S1",G19,IF('02_假设与情景'!$B$5="S2",H19,I19))</x:f>
        <x:v>120000</x:v>
      </x:c>
      <x:c r="K19" s="56" t="n">
        <x:v>0.59</x:v>
      </x:c>
      <x:c r="L19" s="29" t="str">
        <x:v>CNY</x:v>
      </x:c>
      <x:c r="M19" s="29" t="str">
        <x:v>原始来源税态未统一披露；模型按含税到厂预算口径归一化，正式询价复核</x:v>
      </x:c>
      <x:c r="N19" s="29"/>
      <x:c r="O19" s="29"/>
      <x:c r="P19" s="57" t="n">
        <x:v>0.59</x:v>
      </x:c>
      <x:c r="Q19" s="57" t="n">
        <x:v>0.57</x:v>
      </x:c>
      <x:c r="R19" s="57" t="n">
        <x:v>0.59</x:v>
      </x:c>
      <x:c r="S19" s="57" t="n">
        <x:v>0.5</x:v>
      </x:c>
      <x:c r="T19" s="57" t="n">
        <x:v>0.72</x:v>
      </x:c>
      <x:c r="U19" s="52" t="n">
        <x:f>ROUND(J19*P19,2)</x:f>
        <x:v>70800</x:v>
      </x:c>
      <x:c r="V19" s="52" t="n">
        <x:f>ROUND(J19*S19,2)</x:f>
        <x:v>60000</x:v>
      </x:c>
      <x:c r="W19" s="52" t="n">
        <x:f>ROUND(J19*T19,2)</x:f>
        <x:v>86400</x:v>
      </x:c>
      <x:c r="X19" s="53" t="n">
        <x:v>9</x:v>
      </x:c>
      <x:c r="Y19" s="59" t="str">
        <x:v>SRC-012</x:v>
      </x:c>
      <x:c r="Z19" s="59" t="str">
        <x:v>公开价格锚点；正式采购仍需同规格、同税费和服务范围询价</x:v>
      </x:c>
      <x:c r="AA19" s="59" t="str">
        <x:v>原料/成品冷库</x:v>
      </x:c>
      <x:c r="AB1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0">
      <x:c r="A20" t="str">
        <x:v>OPEX-015</x:v>
      </x:c>
      <x:c r="B20" t="str">
        <x:v>公用事业</x:v>
      </x:c>
      <x:c r="C20" t="str">
        <x:v>应急保障</x:v>
      </x:c>
      <x:c r="D20" t="str">
        <x:v>发电机测试、柴油和应急演练</x:v>
      </x:c>
      <x:c r="E20" t="str">
        <x:v>季度测试与年度负载试验</x:v>
      </x:c>
      <x:c r="F20" t="str">
        <x:v>年</x:v>
      </x:c>
      <x:c r="G20" s="49" t="n">
        <x:v>1</x:v>
      </x:c>
      <x:c r="H20" s="49" t="n">
        <x:v>1</x:v>
      </x:c>
      <x:c r="I20" s="49" t="n">
        <x:v>1</x:v>
      </x:c>
      <x:c r="J20" s="50" t="n">
        <x:f>IF('02_假设与情景'!$B$5="S1",G20,IF('02_假设与情景'!$B$5="S2",H20,I20))</x:f>
        <x:v>1</x:v>
      </x:c>
      <x:c r="K20" s="56" t="n">
        <x:v>30000</x:v>
      </x:c>
      <x:c r="L20" s="29" t="str">
        <x:v>CNY</x:v>
      </x:c>
      <x:c r="M20" s="29" t="str">
        <x:v>原始来源税态未统一披露；模型按含税到厂预算口径归一化，正式询价复核</x:v>
      </x:c>
      <x:c r="N20" s="29"/>
      <x:c r="O20" s="29"/>
      <x:c r="P20" s="57" t="n">
        <x:v>30000</x:v>
      </x:c>
      <x:c r="Q20" s="57" t="n">
        <x:v>28818.4438</x:v>
      </x:c>
      <x:c r="R20" s="57" t="n">
        <x:v>29648.6047</x:v>
      </x:c>
      <x:c r="S20" s="57" t="n">
        <x:v>15000</x:v>
      </x:c>
      <x:c r="T20" s="57" t="n">
        <x:v>60000</x:v>
      </x:c>
      <x:c r="U20" s="52" t="n">
        <x:f>ROUND(J20*P20,2)</x:f>
        <x:v>30000</x:v>
      </x:c>
      <x:c r="V20" s="52" t="n">
        <x:f>ROUND(J20*S20,2)</x:f>
        <x:v>15000</x:v>
      </x:c>
      <x:c r="W20" s="52" t="n">
        <x:f>ROUND(J20*T20,2)</x:f>
        <x:v>60000</x:v>
      </x:c>
      <x:c r="X20" s="53" t="n">
        <x:v>3</x:v>
      </x:c>
      <x:c r="Y20" s="59" t="str">
        <x:v>SRC-027, SRC-009, SRC-010, SRC-011</x:v>
      </x:c>
      <x:c r="Z20" s="59" t="str">
        <x:v>需正式询价；当前值仅作预算占位或低可信市场锚点</x:v>
      </x:c>
      <x:c r="AA20" s="59" t="str">
        <x:v>柴油发电机</x:v>
      </x:c>
      <x:c r="AB2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1">
      <x:c r="A21" t="str">
        <x:v>OPEX-016</x:v>
      </x:c>
      <x:c r="B21" t="str">
        <x:v>设备与厂务</x:v>
      </x:c>
      <x:c r="C21" t="str">
        <x:v>维保</x:v>
      </x:c>
      <x:c r="D21" t="str">
        <x:v>设备、HVAC与冷库年度维保</x:v>
      </x:c>
      <x:c r="E21" t="str">
        <x:v>按资产原值和服务合同</x:v>
      </x:c>
      <x:c r="F21" t="str">
        <x:v>年</x:v>
      </x:c>
      <x:c r="G21" s="49" t="n">
        <x:v>0.6</x:v>
      </x:c>
      <x:c r="H21" s="49" t="n">
        <x:v>1</x:v>
      </x:c>
      <x:c r="I21" s="49" t="n">
        <x:v>1.8</x:v>
      </x:c>
      <x:c r="J21" s="50" t="n">
        <x:f>IF('02_假设与情景'!$B$5="S1",G21,IF('02_假设与情景'!$B$5="S2",H21,I21))</x:f>
        <x:v>1</x:v>
      </x:c>
      <x:c r="K21" s="56" t="n">
        <x:v>900000</x:v>
      </x:c>
      <x:c r="L21" s="29" t="str">
        <x:v>CNY</x:v>
      </x:c>
      <x:c r="M21" s="29" t="str">
        <x:v>原始来源税态未统一披露；模型按含税到厂预算口径归一化，正式询价复核</x:v>
      </x:c>
      <x:c r="N21" s="29"/>
      <x:c r="O21" s="29"/>
      <x:c r="P21" s="57" t="n">
        <x:v>900000</x:v>
      </x:c>
      <x:c r="Q21" s="57" t="n">
        <x:v>864553.3141</x:v>
      </x:c>
      <x:c r="R21" s="57" t="n">
        <x:v>889458.1421</x:v>
      </x:c>
      <x:c r="S21" s="57" t="n">
        <x:v>500000</x:v>
      </x:c>
      <x:c r="T21" s="57" t="n">
        <x:v>1600000</x:v>
      </x:c>
      <x:c r="U21" s="52" t="n">
        <x:f>ROUND(J21*P21,2)</x:f>
        <x:v>900000</x:v>
      </x:c>
      <x:c r="V21" s="52" t="n">
        <x:f>ROUND(J21*S21,2)</x:f>
        <x:v>500000</x:v>
      </x:c>
      <x:c r="W21" s="52" t="n">
        <x:f>ROUND(J21*T21,2)</x:f>
        <x:v>1600000</x:v>
      </x:c>
      <x:c r="X21" s="53" t="n">
        <x:v>2</x:v>
      </x:c>
      <x:c r="Y21" s="59" t="str">
        <x:v>SRC-031, SRC-009, SRC-010, SRC-011</x:v>
      </x:c>
      <x:c r="Z21" s="59" t="str">
        <x:v>需正式询价；当前值仅作预算占位或低可信市场锚点</x:v>
      </x:c>
      <x:c r="AA21" s="59" t="str">
        <x:v>生产/检验/冷链连续运行</x:v>
      </x:c>
      <x:c r="AB2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2">
      <x:c r="A22" t="str">
        <x:v>OPEX-017</x:v>
      </x:c>
      <x:c r="B22" t="str">
        <x:v>质量与合规</x:v>
      </x:c>
      <x:c r="C22" t="str">
        <x:v>校准</x:v>
      </x:c>
      <x:c r="D22" t="str">
        <x:v>仪器设备计量校准</x:v>
      </x:c>
      <x:c r="E22" t="str">
        <x:v>天平、温度、移液、qPCR等</x:v>
      </x:c>
      <x:c r="F22" t="str">
        <x:v>年</x:v>
      </x:c>
      <x:c r="G22" s="49" t="n">
        <x:v>0.7</x:v>
      </x:c>
      <x:c r="H22" s="49" t="n">
        <x:v>1</x:v>
      </x:c>
      <x:c r="I22" s="49" t="n">
        <x:v>1.5</x:v>
      </x:c>
      <x:c r="J22" s="50" t="n">
        <x:f>IF('02_假设与情景'!$B$5="S1",G22,IF('02_假设与情景'!$B$5="S2",H22,I22))</x:f>
        <x:v>1</x:v>
      </x:c>
      <x:c r="K22" s="56" t="n">
        <x:v>250000</x:v>
      </x:c>
      <x:c r="L22" s="29" t="str">
        <x:v>CNY</x:v>
      </x:c>
      <x:c r="M22" s="29" t="str">
        <x:v>原始来源税态未统一披露；模型按含税到厂预算口径归一化，正式询价复核</x:v>
      </x:c>
      <x:c r="N22" s="29"/>
      <x:c r="O22" s="29"/>
      <x:c r="P22" s="57" t="n">
        <x:v>250000</x:v>
      </x:c>
      <x:c r="Q22" s="57" t="n">
        <x:v>240153.6984</x:v>
      </x:c>
      <x:c r="R22" s="57" t="n">
        <x:v>247071.7062</x:v>
      </x:c>
      <x:c r="S22" s="57" t="n">
        <x:v>120000</x:v>
      </x:c>
      <x:c r="T22" s="57" t="n">
        <x:v>500000</x:v>
      </x:c>
      <x:c r="U22" s="52" t="n">
        <x:f>ROUND(J22*P22,2)</x:f>
        <x:v>250000</x:v>
      </x:c>
      <x:c r="V22" s="52" t="n">
        <x:f>ROUND(J22*S22,2)</x:f>
        <x:v>120000</x:v>
      </x:c>
      <x:c r="W22" s="52" t="n">
        <x:f>ROUND(J22*T22,2)</x:f>
        <x:v>500000</x:v>
      </x:c>
      <x:c r="X22" s="53" t="n">
        <x:v>2</x:v>
      </x:c>
      <x:c r="Y22" s="59" t="str">
        <x:v>SRC-031, SRC-009, SRC-010, SRC-011</x:v>
      </x:c>
      <x:c r="Z22" s="59" t="str">
        <x:v>需正式询价；当前值仅作预算占位或低可信市场锚点</x:v>
      </x:c>
      <x:c r="AA22" s="59" t="str">
        <x:v>检测和在线称重校验</x:v>
      </x:c>
      <x:c r="AB2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3">
      <x:c r="A23" t="str">
        <x:v>OPEX-018</x:v>
      </x:c>
      <x:c r="B23" t="str">
        <x:v>质量与合规</x:v>
      </x:c>
      <x:c r="C23" t="str">
        <x:v>环境监测</x:v>
      </x:c>
      <x:c r="D23" t="str">
        <x:v>洁净区环境监测与年度检测</x:v>
      </x:c>
      <x:c r="E23" t="str">
        <x:v>粒子、沉降菌、浮游菌等</x:v>
      </x:c>
      <x:c r="F23" t="str">
        <x:v>年</x:v>
      </x:c>
      <x:c r="G23" s="49" t="n">
        <x:v>0.7</x:v>
      </x:c>
      <x:c r="H23" s="49" t="n">
        <x:v>1</x:v>
      </x:c>
      <x:c r="I23" s="49" t="n">
        <x:v>1.5</x:v>
      </x:c>
      <x:c r="J23" s="50" t="n">
        <x:f>IF('02_假设与情景'!$B$5="S1",G23,IF('02_假设与情景'!$B$5="S2",H23,I23))</x:f>
        <x:v>1</x:v>
      </x:c>
      <x:c r="K23" s="56" t="n">
        <x:v>180000</x:v>
      </x:c>
      <x:c r="L23" s="29" t="str">
        <x:v>CNY</x:v>
      </x:c>
      <x:c r="M23" s="29" t="str">
        <x:v>原始来源税态未统一披露；模型按含税到厂预算口径归一化，正式询价复核</x:v>
      </x:c>
      <x:c r="N23" s="29"/>
      <x:c r="O23" s="29"/>
      <x:c r="P23" s="57" t="n">
        <x:v>180000</x:v>
      </x:c>
      <x:c r="Q23" s="57" t="n">
        <x:v>172910.6628</x:v>
      </x:c>
      <x:c r="R23" s="57" t="n">
        <x:v>177891.6284</x:v>
      </x:c>
      <x:c r="S23" s="57" t="n">
        <x:v>90000</x:v>
      </x:c>
      <x:c r="T23" s="57" t="n">
        <x:v>350000</x:v>
      </x:c>
      <x:c r="U23" s="52" t="n">
        <x:f>ROUND(J23*P23,2)</x:f>
        <x:v>180000</x:v>
      </x:c>
      <x:c r="V23" s="52" t="n">
        <x:f>ROUND(J23*S23,2)</x:f>
        <x:v>90000</x:v>
      </x:c>
      <x:c r="W23" s="52" t="n">
        <x:f>ROUND(J23*T23,2)</x:f>
        <x:v>350000</x:v>
      </x:c>
      <x:c r="X23" s="53" t="n">
        <x:v>2</x:v>
      </x:c>
      <x:c r="Y23" s="59" t="str">
        <x:v>SRC-031, SRC-009, SRC-010, SRC-011</x:v>
      </x:c>
      <x:c r="Z23" s="59" t="str">
        <x:v>需正式询价；当前值仅作预算占位或低可信市场锚点</x:v>
      </x:c>
      <x:c r="AA23" s="59" t="str">
        <x:v>空气含尘含菌水平</x:v>
      </x:c>
      <x:c r="AB2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4">
      <x:c r="A24" t="str">
        <x:v>OPEX-019</x:v>
      </x:c>
      <x:c r="B24" t="str">
        <x:v>质量与合规</x:v>
      </x:c>
      <x:c r="C24" t="str">
        <x:v>第三方原料检测</x:v>
      </x:c>
      <x:c r="D24" t="str">
        <x:v>质谱、测序、HPLC和核酸酶检测委外</x:v>
      </x:c>
      <x:c r="E24" t="str">
        <x:v>按批次与样品数</x:v>
      </x:c>
      <x:c r="F24" t="str">
        <x:v>批</x:v>
      </x:c>
      <x:c r="G24" s="49" t="n">
        <x:v>20</x:v>
      </x:c>
      <x:c r="H24" s="49" t="n">
        <x:v>50</x:v>
      </x:c>
      <x:c r="I24" s="49" t="n">
        <x:v>100</x:v>
      </x:c>
      <x:c r="J24" s="50" t="n">
        <x:f>IF('02_假设与情景'!$B$5="S1",G24,IF('02_假设与情景'!$B$5="S2",H24,I24))</x:f>
        <x:v>50</x:v>
      </x:c>
      <x:c r="K24" s="56" t="n">
        <x:v>12000</x:v>
      </x:c>
      <x:c r="L24" s="29" t="str">
        <x:v>CNY</x:v>
      </x:c>
      <x:c r="M24" s="29" t="str">
        <x:v>原始来源税态未统一披露；模型按含税到厂预算口径归一化，正式询价复核</x:v>
      </x:c>
      <x:c r="N24" s="29"/>
      <x:c r="O24" s="29"/>
      <x:c r="P24" s="57" t="n">
        <x:v>12000</x:v>
      </x:c>
      <x:c r="Q24" s="57" t="n">
        <x:v>11527.3775</x:v>
      </x:c>
      <x:c r="R24" s="57" t="n">
        <x:v>11859.4419</x:v>
      </x:c>
      <x:c r="S24" s="57" t="n">
        <x:v>5000</x:v>
      </x:c>
      <x:c r="T24" s="57" t="n">
        <x:v>30000</x:v>
      </x:c>
      <x:c r="U24" s="52" t="n">
        <x:f>ROUND(J24*P24,2)</x:f>
        <x:v>600000</x:v>
      </x:c>
      <x:c r="V24" s="52" t="n">
        <x:f>ROUND(J24*S24,2)</x:f>
        <x:v>250000</x:v>
      </x:c>
      <x:c r="W24" s="52" t="n">
        <x:f>ROUND(J24*T24,2)</x:f>
        <x:v>1500000</x:v>
      </x:c>
      <x:c r="X24" s="53" t="n">
        <x:v>3</x:v>
      </x:c>
      <x:c r="Y24" s="59" t="str">
        <x:v>SRC-006, SRC-031, SRC-009, SRC-010, SRC-011</x:v>
      </x:c>
      <x:c r="Z24" s="59" t="str">
        <x:v>需正式询价；当前值仅作预算占位或低可信市场锚点</x:v>
      </x:c>
      <x:c r="AA24" s="59" t="str">
        <x:v>原辅料入厂检验</x:v>
      </x:c>
      <x:c r="AB2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5">
      <x:c r="A25" t="str">
        <x:v>OPEX-020</x:v>
      </x:c>
      <x:c r="B25" t="str">
        <x:v>质量与合规</x:v>
      </x:c>
      <x:c r="C25" t="str">
        <x:v>第三方产品检测</x:v>
      </x:c>
      <x:c r="D25" t="str">
        <x:v>性能、微生物或专项检测委外</x:v>
      </x:c>
      <x:c r="E25" t="str">
        <x:v>按批次/变更需要</x:v>
      </x:c>
      <x:c r="F25" t="str">
        <x:v>批</x:v>
      </x:c>
      <x:c r="G25" s="49" t="n">
        <x:v>20</x:v>
      </x:c>
      <x:c r="H25" s="49" t="n">
        <x:v>50</x:v>
      </x:c>
      <x:c r="I25" s="49" t="n">
        <x:v>100</x:v>
      </x:c>
      <x:c r="J25" s="50" t="n">
        <x:f>IF('02_假设与情景'!$B$5="S1",G25,IF('02_假设与情景'!$B$5="S2",H25,I25))</x:f>
        <x:v>50</x:v>
      </x:c>
      <x:c r="K25" s="56" t="n">
        <x:v>15000</x:v>
      </x:c>
      <x:c r="L25" s="29" t="str">
        <x:v>CNY</x:v>
      </x:c>
      <x:c r="M25" s="29" t="str">
        <x:v>原始来源税态未统一披露；模型按含税到厂预算口径归一化，正式询价复核</x:v>
      </x:c>
      <x:c r="N25" s="29"/>
      <x:c r="O25" s="29"/>
      <x:c r="P25" s="57" t="n">
        <x:v>15000</x:v>
      </x:c>
      <x:c r="Q25" s="57" t="n">
        <x:v>14409.2219</x:v>
      </x:c>
      <x:c r="R25" s="57" t="n">
        <x:v>14824.3024</x:v>
      </x:c>
      <x:c r="S25" s="57" t="n">
        <x:v>7000</x:v>
      </x:c>
      <x:c r="T25" s="57" t="n">
        <x:v>40000</x:v>
      </x:c>
      <x:c r="U25" s="52" t="n">
        <x:f>ROUND(J25*P25,2)</x:f>
        <x:v>750000</x:v>
      </x:c>
      <x:c r="V25" s="52" t="n">
        <x:f>ROUND(J25*S25,2)</x:f>
        <x:v>350000</x:v>
      </x:c>
      <x:c r="W25" s="52" t="n">
        <x:f>ROUND(J25*T25,2)</x:f>
        <x:v>2000000</x:v>
      </x:c>
      <x:c r="X25" s="53" t="n">
        <x:v>3</x:v>
      </x:c>
      <x:c r="Y25" s="59" t="str">
        <x:v>SRC-006, SRC-031, SRC-009, SRC-010, SRC-011</x:v>
      </x:c>
      <x:c r="Z25" s="59" t="str">
        <x:v>需正式询价；当前值仅作预算占位或低可信市场锚点</x:v>
      </x:c>
      <x:c r="AA25" s="59" t="str">
        <x:v>成品抽检复测全套性能</x:v>
      </x:c>
      <x:c r="AB2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6">
      <x:c r="A26" t="str">
        <x:v>OPEX-021</x:v>
      </x:c>
      <x:c r="B26" t="str">
        <x:v>EHS</x:v>
      </x:c>
      <x:c r="C26" t="str">
        <x:v>危废处置</x:v>
      </x:c>
      <x:c r="D26" t="str">
        <x:v>生化、质粒和清洁危废合规处置</x:v>
      </x:c>
      <x:c r="E26" t="str">
        <x:v>有资质单位转运处置</x:v>
      </x:c>
      <x:c r="F26" t="str">
        <x:v>年</x:v>
      </x:c>
      <x:c r="G26" s="49" t="n">
        <x:v>0.6</x:v>
      </x:c>
      <x:c r="H26" s="49" t="n">
        <x:v>1</x:v>
      </x:c>
      <x:c r="I26" s="49" t="n">
        <x:v>1.8</x:v>
      </x:c>
      <x:c r="J26" s="50" t="n">
        <x:f>IF('02_假设与情景'!$B$5="S1",G26,IF('02_假设与情景'!$B$5="S2",H26,I26))</x:f>
        <x:v>1</x:v>
      </x:c>
      <x:c r="K26" s="56" t="n">
        <x:v>100000</x:v>
      </x:c>
      <x:c r="L26" s="29" t="str">
        <x:v>CNY</x:v>
      </x:c>
      <x:c r="M26" s="29" t="str">
        <x:v>原始来源税态未统一披露；模型按含税到厂预算口径归一化，正式询价复核</x:v>
      </x:c>
      <x:c r="N26" s="29"/>
      <x:c r="O26" s="29"/>
      <x:c r="P26" s="57" t="n">
        <x:v>100000</x:v>
      </x:c>
      <x:c r="Q26" s="57" t="n">
        <x:v>96061.4793</x:v>
      </x:c>
      <x:c r="R26" s="57" t="n">
        <x:v>98828.6824</x:v>
      </x:c>
      <x:c r="S26" s="57" t="n">
        <x:v>50000</x:v>
      </x:c>
      <x:c r="T26" s="57" t="n">
        <x:v>250000</x:v>
      </x:c>
      <x:c r="U26" s="52" t="n">
        <x:f>ROUND(J26*P26,2)</x:f>
        <x:v>100000</x:v>
      </x:c>
      <x:c r="V26" s="52" t="n">
        <x:f>ROUND(J26*S26,2)</x:f>
        <x:v>50000</x:v>
      </x:c>
      <x:c r="W26" s="52" t="n">
        <x:f>ROUND(J26*T26,2)</x:f>
        <x:v>250000</x:v>
      </x:c>
      <x:c r="X26" s="53" t="n">
        <x:v>2</x:v>
      </x:c>
      <x:c r="Y26" s="59" t="str">
        <x:v>SRC-031, SRC-009, SRC-010, SRC-011</x:v>
      </x:c>
      <x:c r="Z26" s="59" t="str">
        <x:v>需正式询价；当前值仅作预算占位或低可信市场锚点</x:v>
      </x:c>
      <x:c r="AA26" s="59" t="str">
        <x:v>废液委托有资质公司处理</x:v>
      </x:c>
      <x:c r="AB2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7">
      <x:c r="A27" t="str">
        <x:v>OPEX-022</x:v>
      </x:c>
      <x:c r="B27" t="str">
        <x:v>物流</x:v>
      </x:c>
      <x:c r="C27" t="str">
        <x:v>冷链运输</x:v>
      </x:c>
      <x:c r="D27" t="str">
        <x:v>原料入厂和成品出库冷链物流</x:v>
      </x:c>
      <x:c r="E27" t="str">
        <x:v>按年产量和发运频次</x:v>
      </x:c>
      <x:c r="F27" t="str">
        <x:v>盒</x:v>
      </x:c>
      <x:c r="G27" s="49" t="n">
        <x:v>10000</x:v>
      </x:c>
      <x:c r="H27" s="49" t="n">
        <x:v>50000</x:v>
      </x:c>
      <x:c r="I27" s="49" t="n">
        <x:v>200000</x:v>
      </x:c>
      <x:c r="J27" s="50" t="n">
        <x:f>IF('02_假设与情景'!$B$5="S1",G27,IF('02_假设与情景'!$B$5="S2",H27,I27))</x:f>
        <x:v>50000</x:v>
      </x:c>
      <x:c r="K27" s="56" t="n">
        <x:v>3.5</x:v>
      </x:c>
      <x:c r="L27" s="29" t="str">
        <x:v>CNY</x:v>
      </x:c>
      <x:c r="M27" s="29" t="str">
        <x:v>原始来源税态未统一披露；模型按含税到厂预算口径归一化，正式询价复核</x:v>
      </x:c>
      <x:c r="N27" s="29"/>
      <x:c r="O27" s="29"/>
      <x:c r="P27" s="57" t="n">
        <x:v>3.5</x:v>
      </x:c>
      <x:c r="Q27" s="57" t="n">
        <x:v>3.3622</x:v>
      </x:c>
      <x:c r="R27" s="57" t="n">
        <x:v>3.4591</x:v>
      </x:c>
      <x:c r="S27" s="57" t="n">
        <x:v>1.5</x:v>
      </x:c>
      <x:c r="T27" s="57" t="n">
        <x:v>8</x:v>
      </x:c>
      <x:c r="U27" s="52" t="n">
        <x:f>ROUND(J27*P27,2)</x:f>
        <x:v>175000</x:v>
      </x:c>
      <x:c r="V27" s="52" t="n">
        <x:f>ROUND(J27*S27,2)</x:f>
        <x:v>75000</x:v>
      </x:c>
      <x:c r="W27" s="52" t="n">
        <x:f>ROUND(J27*T27,2)</x:f>
        <x:v>400000</x:v>
      </x:c>
      <x:c r="X27" s="53" t="n">
        <x:v>3</x:v>
      </x:c>
      <x:c r="Y27" s="59" t="str">
        <x:v>SRC-028, SRC-009, SRC-010, SRC-011</x:v>
      </x:c>
      <x:c r="Z27" s="59" t="str">
        <x:v>需正式询价；当前值仅作预算占位或低可信市场锚点</x:v>
      </x:c>
      <x:c r="AA27" s="59" t="str">
        <x:v>冷链出库</x:v>
      </x:c>
      <x:c r="AB2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8">
      <x:c r="A28" t="str">
        <x:v>OPEX-023</x:v>
      </x:c>
      <x:c r="B28" t="str">
        <x:v>信息化</x:v>
      </x:c>
      <x:c r="C28" t="str">
        <x:v>软件服务</x:v>
      </x:c>
      <x:c r="D28" t="str">
        <x:v>MES/LIMS/备份/安全年度服务</x:v>
      </x:c>
      <x:c r="E28" t="str">
        <x:v>许可、维护和验证支持</x:v>
      </x:c>
      <x:c r="F28" t="str">
        <x:v>年</x:v>
      </x:c>
      <x:c r="G28" s="49" t="n">
        <x:v>0.7</x:v>
      </x:c>
      <x:c r="H28" s="49" t="n">
        <x:v>1</x:v>
      </x:c>
      <x:c r="I28" s="49" t="n">
        <x:v>1.4</x:v>
      </x:c>
      <x:c r="J28" s="50" t="n">
        <x:f>IF('02_假设与情景'!$B$5="S1",G28,IF('02_假设与情景'!$B$5="S2",H28,I28))</x:f>
        <x:v>1</x:v>
      </x:c>
      <x:c r="K28" s="56" t="n">
        <x:v>180000</x:v>
      </x:c>
      <x:c r="L28" s="29" t="str">
        <x:v>CNY</x:v>
      </x:c>
      <x:c r="M28" s="29" t="str">
        <x:v>原始来源税态未统一披露；模型按含税到厂预算口径归一化，正式询价复核</x:v>
      </x:c>
      <x:c r="N28" s="29"/>
      <x:c r="O28" s="29"/>
      <x:c r="P28" s="57" t="n">
        <x:v>180000</x:v>
      </x:c>
      <x:c r="Q28" s="57" t="n">
        <x:v>172910.6628</x:v>
      </x:c>
      <x:c r="R28" s="57" t="n">
        <x:v>177891.6284</x:v>
      </x:c>
      <x:c r="S28" s="57" t="n">
        <x:v>80000</x:v>
      </x:c>
      <x:c r="T28" s="57" t="n">
        <x:v>400000</x:v>
      </x:c>
      <x:c r="U28" s="52" t="n">
        <x:f>ROUND(J28*P28,2)</x:f>
        <x:v>180000</x:v>
      </x:c>
      <x:c r="V28" s="52" t="n">
        <x:f>ROUND(J28*S28,2)</x:f>
        <x:v>80000</x:v>
      </x:c>
      <x:c r="W28" s="52" t="n">
        <x:f>ROUND(J28*T28,2)</x:f>
        <x:v>400000</x:v>
      </x:c>
      <x:c r="X28" s="53" t="n">
        <x:v>2</x:v>
      </x:c>
      <x:c r="Y28" s="59" t="str">
        <x:v>SRC-031, SRC-009, SRC-010, SRC-011</x:v>
      </x:c>
      <x:c r="Z28" s="59" t="str">
        <x:v>需正式询价；当前值仅作预算占位或低可信市场锚点</x:v>
      </x:c>
      <x:c r="AA28" s="59" t="str">
        <x:v>MES追溯/GMP记录</x:v>
      </x:c>
      <x:c r="AB2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9">
      <x:c r="A29" t="str">
        <x:v>OPEX-024</x:v>
      </x:c>
      <x:c r="B29" t="str">
        <x:v>质量与合规</x:v>
      </x:c>
      <x:c r="C29" t="str">
        <x:v>体系审核</x:v>
      </x:c>
      <x:c r="D29" t="str">
        <x:v>质量体系、供应商和客户审计</x:v>
      </x:c>
      <x:c r="E29" t="str">
        <x:v>含外部认证及差旅</x:v>
      </x:c>
      <x:c r="F29" t="str">
        <x:v>年</x:v>
      </x:c>
      <x:c r="G29" s="49" t="n">
        <x:v>0.7</x:v>
      </x:c>
      <x:c r="H29" s="49" t="n">
        <x:v>1</x:v>
      </x:c>
      <x:c r="I29" s="49" t="n">
        <x:v>1.4</x:v>
      </x:c>
      <x:c r="J29" s="50" t="n">
        <x:f>IF('02_假设与情景'!$B$5="S1",G29,IF('02_假设与情景'!$B$5="S2",H29,I29))</x:f>
        <x:v>1</x:v>
      </x:c>
      <x:c r="K29" s="56" t="n">
        <x:v>150000</x:v>
      </x:c>
      <x:c r="L29" s="29" t="str">
        <x:v>CNY</x:v>
      </x:c>
      <x:c r="M29" s="29" t="str">
        <x:v>原始来源税态未统一披露；模型按含税到厂预算口径归一化，正式询价复核</x:v>
      </x:c>
      <x:c r="N29" s="29"/>
      <x:c r="O29" s="29"/>
      <x:c r="P29" s="57" t="n">
        <x:v>150000</x:v>
      </x:c>
      <x:c r="Q29" s="57" t="n">
        <x:v>144092.219</x:v>
      </x:c>
      <x:c r="R29" s="57" t="n">
        <x:v>148243.0237</x:v>
      </x:c>
      <x:c r="S29" s="57" t="n">
        <x:v>70000</x:v>
      </x:c>
      <x:c r="T29" s="57" t="n">
        <x:v>350000</x:v>
      </x:c>
      <x:c r="U29" s="52" t="n">
        <x:f>ROUND(J29*P29,2)</x:f>
        <x:v>150000</x:v>
      </x:c>
      <x:c r="V29" s="52" t="n">
        <x:f>ROUND(J29*S29,2)</x:f>
        <x:v>70000</x:v>
      </x:c>
      <x:c r="W29" s="52" t="n">
        <x:f>ROUND(J29*T29,2)</x:f>
        <x:v>350000</x:v>
      </x:c>
      <x:c r="X29" s="53" t="n">
        <x:v>2</x:v>
      </x:c>
      <x:c r="Y29" s="59" t="str">
        <x:v>SRC-031, SRC-009, SRC-010, SRC-011</x:v>
      </x:c>
      <x:c r="Z29" s="59" t="str">
        <x:v>需正式询价；当前值仅作预算占位或低可信市场锚点</x:v>
      </x:c>
      <x:c r="AA29" s="59" t="str">
        <x:v>药监现场核查/GMP记录</x:v>
      </x:c>
      <x:c r="AB2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0">
      <x:c r="A30" t="str">
        <x:v>OPEX-025</x:v>
      </x:c>
      <x:c r="B30" t="str">
        <x:v>人员</x:v>
      </x:c>
      <x:c r="C30" t="str">
        <x:v>培训</x:v>
      </x:c>
      <x:c r="D30" t="str">
        <x:v>GMP、EHS、岗位和设备培训</x:v>
      </x:c>
      <x:c r="E30" t="str">
        <x:v>新员工与年度再培训</x:v>
      </x:c>
      <x:c r="F30" t="str">
        <x:v>FTE·年</x:v>
      </x:c>
      <x:c r="G30" s="49" t="n">
        <x:v>29</x:v>
      </x:c>
      <x:c r="H30" s="49" t="n">
        <x:v>54</x:v>
      </x:c>
      <x:c r="I30" s="49" t="n">
        <x:v>94</x:v>
      </x:c>
      <x:c r="J30" s="50" t="n">
        <x:f>IF('02_假设与情景'!$B$5="S1",G30,IF('02_假设与情景'!$B$5="S2",H30,I30))</x:f>
        <x:v>54</x:v>
      </x:c>
      <x:c r="K30" s="56" t="n">
        <x:v>3000</x:v>
      </x:c>
      <x:c r="L30" s="29" t="str">
        <x:v>CNY</x:v>
      </x:c>
      <x:c r="M30" s="29" t="str">
        <x:v>原始来源税态未统一披露；模型按含税到厂预算口径归一化，正式询价复核</x:v>
      </x:c>
      <x:c r="N30" s="29"/>
      <x:c r="O30" s="29"/>
      <x:c r="P30" s="57" t="n">
        <x:v>3000</x:v>
      </x:c>
      <x:c r="Q30" s="57" t="n">
        <x:v>2881.8444</x:v>
      </x:c>
      <x:c r="R30" s="57" t="n">
        <x:v>2964.8605</x:v>
      </x:c>
      <x:c r="S30" s="57" t="n">
        <x:v>1500</x:v>
      </x:c>
      <x:c r="T30" s="57" t="n">
        <x:v>6000</x:v>
      </x:c>
      <x:c r="U30" s="52" t="n">
        <x:f>ROUND(J30*P30,2)</x:f>
        <x:v>162000</x:v>
      </x:c>
      <x:c r="V30" s="52" t="n">
        <x:f>ROUND(J30*S30,2)</x:f>
        <x:v>81000</x:v>
      </x:c>
      <x:c r="W30" s="52" t="n">
        <x:f>ROUND(J30*T30,2)</x:f>
        <x:v>324000</x:v>
      </x:c>
      <x:c r="X30" s="53" t="n">
        <x:v>3</x:v>
      </x:c>
      <x:c r="Y30" s="59" t="str">
        <x:v>SRC-031, SRC-009, SRC-010, SRC-011</x:v>
      </x:c>
      <x:c r="Z30" s="59" t="str">
        <x:v>需正式询价；当前值仅作预算占位或低可信市场锚点</x:v>
      </x:c>
      <x:c r="AA30" s="59" t="str">
        <x:v>生产检验记录规范</x:v>
      </x:c>
      <x:c r="AB3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1">
      <x:c r="A31" t="str">
        <x:v>OPEX-026</x:v>
      </x:c>
      <x:c r="B31" t="str">
        <x:v>公司保障</x:v>
      </x:c>
      <x:c r="C31" t="str">
        <x:v>保险</x:v>
      </x:c>
      <x:c r="D31" t="str">
        <x:v>财产、责任、雇主和货运保险</x:v>
      </x:c>
      <x:c r="E31" t="str">
        <x:v>按资产和业务规模</x:v>
      </x:c>
      <x:c r="F31" t="str">
        <x:v>年</x:v>
      </x:c>
      <x:c r="G31" s="49" t="n">
        <x:v>0.7</x:v>
      </x:c>
      <x:c r="H31" s="49" t="n">
        <x:v>1</x:v>
      </x:c>
      <x:c r="I31" s="49" t="n">
        <x:v>1.6</x:v>
      </x:c>
      <x:c r="J31" s="50" t="n">
        <x:f>IF('02_假设与情景'!$B$5="S1",G31,IF('02_假设与情景'!$B$5="S2",H31,I31))</x:f>
        <x:v>1</x:v>
      </x:c>
      <x:c r="K31" s="56" t="n">
        <x:v>150000</x:v>
      </x:c>
      <x:c r="L31" s="29" t="str">
        <x:v>CNY</x:v>
      </x:c>
      <x:c r="M31" s="29" t="str">
        <x:v>原始来源税态未统一披露；模型按含税到厂预算口径归一化，正式询价复核</x:v>
      </x:c>
      <x:c r="N31" s="29"/>
      <x:c r="O31" s="29"/>
      <x:c r="P31" s="57" t="n">
        <x:v>150000</x:v>
      </x:c>
      <x:c r="Q31" s="57" t="n">
        <x:v>144092.219</x:v>
      </x:c>
      <x:c r="R31" s="57" t="n">
        <x:v>148243.0237</x:v>
      </x:c>
      <x:c r="S31" s="57" t="n">
        <x:v>70000</x:v>
      </x:c>
      <x:c r="T31" s="57" t="n">
        <x:v>350000</x:v>
      </x:c>
      <x:c r="U31" s="52" t="n">
        <x:f>ROUND(J31*P31,2)</x:f>
        <x:v>150000</x:v>
      </x:c>
      <x:c r="V31" s="52" t="n">
        <x:f>ROUND(J31*S31,2)</x:f>
        <x:v>70000</x:v>
      </x:c>
      <x:c r="W31" s="52" t="n">
        <x:f>ROUND(J31*T31,2)</x:f>
        <x:v>350000</x:v>
      </x:c>
      <x:c r="X31" s="53" t="n">
        <x:v>2</x:v>
      </x:c>
      <x:c r="Y31" s="59" t="str">
        <x:v>SRC-031, SRC-009, SRC-010, SRC-011</x:v>
      </x:c>
      <x:c r="Z31" s="59" t="str">
        <x:v>需正式询价；当前值仅作预算占位或低可信市场锚点</x:v>
      </x:c>
      <x:c r="AA31" s="59" t="str">
        <x:v>停电/冷链/质量风险</x:v>
      </x:c>
      <x:c r="AB3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2">
      <x:c r="A32" t="str">
        <x:v>OPEX-027</x:v>
      </x:c>
      <x:c r="B32" t="str">
        <x:v>质量与合规</x:v>
      </x:c>
      <x:c r="C32" t="str">
        <x:v>稳定性与留样</x:v>
      </x:c>
      <x:c r="D32" t="str">
        <x:v>稳定性研究、留样和复测</x:v>
      </x:c>
      <x:c r="E32" t="str">
        <x:v>按批次和时间点</x:v>
      </x:c>
      <x:c r="F32" t="str">
        <x:v>批</x:v>
      </x:c>
      <x:c r="G32" s="49" t="n">
        <x:v>20</x:v>
      </x:c>
      <x:c r="H32" s="49" t="n">
        <x:v>50</x:v>
      </x:c>
      <x:c r="I32" s="49" t="n">
        <x:v>100</x:v>
      </x:c>
      <x:c r="J32" s="50" t="n">
        <x:f>IF('02_假设与情景'!$B$5="S1",G32,IF('02_假设与情景'!$B$5="S2",H32,I32))</x:f>
        <x:v>50</x:v>
      </x:c>
      <x:c r="K32" s="56" t="n">
        <x:v>12000</x:v>
      </x:c>
      <x:c r="L32" s="29" t="str">
        <x:v>CNY</x:v>
      </x:c>
      <x:c r="M32" s="29" t="str">
        <x:v>原始来源税态未统一披露；模型按含税到厂预算口径归一化，正式询价复核</x:v>
      </x:c>
      <x:c r="N32" s="29"/>
      <x:c r="O32" s="29"/>
      <x:c r="P32" s="57" t="n">
        <x:v>12000</x:v>
      </x:c>
      <x:c r="Q32" s="57" t="n">
        <x:v>11527.3775</x:v>
      </x:c>
      <x:c r="R32" s="57" t="n">
        <x:v>11859.4419</x:v>
      </x:c>
      <x:c r="S32" s="57" t="n">
        <x:v>5000</x:v>
      </x:c>
      <x:c r="T32" s="57" t="n">
        <x:v>30000</x:v>
      </x:c>
      <x:c r="U32" s="52" t="n">
        <x:f>ROUND(J32*P32,2)</x:f>
        <x:v>600000</x:v>
      </x:c>
      <x:c r="V32" s="52" t="n">
        <x:f>ROUND(J32*S32,2)</x:f>
        <x:v>250000</x:v>
      </x:c>
      <x:c r="W32" s="52" t="n">
        <x:f>ROUND(J32*T32,2)</x:f>
        <x:v>1500000</x:v>
      </x:c>
      <x:c r="X32" s="53" t="n">
        <x:v>2</x:v>
      </x:c>
      <x:c r="Y32" s="59" t="str">
        <x:v>SRC-031, SRC-009, SRC-010, SRC-011</x:v>
      </x:c>
      <x:c r="Z32" s="59" t="str">
        <x:v>需正式询价；当前值仅作预算占位或低可信市场锚点</x:v>
      </x:c>
      <x:c r="AA32" s="59" t="str">
        <x:v>留样室/成品终检</x:v>
      </x:c>
      <x:c r="AB3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3">
      <x:c r="A33" t="str">
        <x:v>OPEX-028</x:v>
      </x:c>
      <x:c r="B33" t="str">
        <x:v>质量与合规</x:v>
      </x:c>
      <x:c r="C33" t="str">
        <x:v>工艺验证</x:v>
      </x:c>
      <x:c r="D33" t="str">
        <x:v>工艺确认、持续验证和变更验证</x:v>
      </x:c>
      <x:c r="E33" t="str">
        <x:v>含模拟临床流程性能确认</x:v>
      </x:c>
      <x:c r="F33" t="str">
        <x:v>年</x:v>
      </x:c>
      <x:c r="G33" s="49" t="n">
        <x:v>0.7</x:v>
      </x:c>
      <x:c r="H33" s="49" t="n">
        <x:v>1</x:v>
      </x:c>
      <x:c r="I33" s="49" t="n">
        <x:v>1.8</x:v>
      </x:c>
      <x:c r="J33" s="50" t="n">
        <x:f>IF('02_假设与情景'!$B$5="S1",G33,IF('02_假设与情景'!$B$5="S2",H33,I33))</x:f>
        <x:v>1</x:v>
      </x:c>
      <x:c r="K33" s="56" t="n">
        <x:v>500000</x:v>
      </x:c>
      <x:c r="L33" s="29" t="str">
        <x:v>CNY</x:v>
      </x:c>
      <x:c r="M33" s="29" t="str">
        <x:v>原始来源税态未统一披露；模型按含税到厂预算口径归一化，正式询价复核</x:v>
      </x:c>
      <x:c r="N33" s="29"/>
      <x:c r="O33" s="29"/>
      <x:c r="P33" s="57" t="n">
        <x:v>500000</x:v>
      </x:c>
      <x:c r="Q33" s="57" t="n">
        <x:v>480307.3967</x:v>
      </x:c>
      <x:c r="R33" s="57" t="n">
        <x:v>494143.4122</x:v>
      </x:c>
      <x:c r="S33" s="57" t="n">
        <x:v>250000</x:v>
      </x:c>
      <x:c r="T33" s="57" t="n">
        <x:v>1200000</x:v>
      </x:c>
      <x:c r="U33" s="52" t="n">
        <x:f>ROUND(J33*P33,2)</x:f>
        <x:v>500000</x:v>
      </x:c>
      <x:c r="V33" s="52" t="n">
        <x:f>ROUND(J33*S33,2)</x:f>
        <x:v>250000</x:v>
      </x:c>
      <x:c r="W33" s="52" t="n">
        <x:f>ROUND(J33*T33,2)</x:f>
        <x:v>1200000</x:v>
      </x:c>
      <x:c r="X33" s="53" t="n">
        <x:v>2</x:v>
      </x:c>
      <x:c r="Y33" s="59" t="str">
        <x:v>SRC-031, SRC-009, SRC-010, SRC-011</x:v>
      </x:c>
      <x:c r="Z33" s="59" t="str">
        <x:v>需正式询价；当前值仅作预算占位或低可信市场锚点</x:v>
      </x:c>
      <x:c r="AA33" s="59" t="str">
        <x:v>半成品中间质控/模拟临床</x:v>
      </x:c>
      <x:c r="AB3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4">
      <x:c r="A34" t="str">
        <x:v>OPEX-029</x:v>
      </x:c>
      <x:c r="B34" t="str">
        <x:v>卫生与清洁</x:v>
      </x:c>
      <x:c r="C34" t="str">
        <x:v>清洁消毒</x:v>
      </x:c>
      <x:c r="D34" t="str">
        <x:v>洁净区清洁、消毒和虫害控制服务</x:v>
      </x:c>
      <x:c r="E34" t="str">
        <x:v>含消毒剂轮换和监测</x:v>
      </x:c>
      <x:c r="F34" t="str">
        <x:v>年</x:v>
      </x:c>
      <x:c r="G34" s="49" t="n">
        <x:v>0.7</x:v>
      </x:c>
      <x:c r="H34" s="49" t="n">
        <x:v>1</x:v>
      </x:c>
      <x:c r="I34" s="49" t="n">
        <x:v>1.6</x:v>
      </x:c>
      <x:c r="J34" s="50" t="n">
        <x:f>IF('02_假设与情景'!$B$5="S1",G34,IF('02_假设与情景'!$B$5="S2",H34,I34))</x:f>
        <x:v>1</x:v>
      </x:c>
      <x:c r="K34" s="56" t="n">
        <x:v>120000</x:v>
      </x:c>
      <x:c r="L34" s="29" t="str">
        <x:v>CNY</x:v>
      </x:c>
      <x:c r="M34" s="29" t="str">
        <x:v>原始来源税态未统一披露；模型按含税到厂预算口径归一化，正式询价复核</x:v>
      </x:c>
      <x:c r="N34" s="29"/>
      <x:c r="O34" s="29"/>
      <x:c r="P34" s="57" t="n">
        <x:v>120000</x:v>
      </x:c>
      <x:c r="Q34" s="57" t="n">
        <x:v>115273.7752</x:v>
      </x:c>
      <x:c r="R34" s="57" t="n">
        <x:v>118594.4189</x:v>
      </x:c>
      <x:c r="S34" s="57" t="n">
        <x:v>60000</x:v>
      </x:c>
      <x:c r="T34" s="57" t="n">
        <x:v>300000</x:v>
      </x:c>
      <x:c r="U34" s="52" t="n">
        <x:f>ROUND(J34*P34,2)</x:f>
        <x:v>120000</x:v>
      </x:c>
      <x:c r="V34" s="52" t="n">
        <x:f>ROUND(J34*S34,2)</x:f>
        <x:v>60000</x:v>
      </x:c>
      <x:c r="W34" s="52" t="n">
        <x:f>ROUND(J34*T34,2)</x:f>
        <x:v>300000</x:v>
      </x:c>
      <x:c r="X34" s="53" t="n">
        <x:v>2</x:v>
      </x:c>
      <x:c r="Y34" s="59" t="str">
        <x:v>SRC-031, SRC-009, SRC-010, SRC-011</x:v>
      </x:c>
      <x:c r="Z34" s="59" t="str">
        <x:v>需正式询价；当前值仅作预算占位或低可信市场锚点</x:v>
      </x:c>
      <x:c r="AA34" s="59" t="str">
        <x:v>多个ISO7独立操作/污染控制</x:v>
      </x:c>
      <x:c r="AB3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5">
      <x:c r="A35" t="str">
        <x:v>OPEX-030</x:v>
      </x:c>
      <x:c r="B35" t="str">
        <x:v>行政</x:v>
      </x:c>
      <x:c r="C35" t="str">
        <x:v>办公与通信</x:v>
      </x:c>
      <x:c r="D35" t="str">
        <x:v>办公耗材、通信、差旅和日常行政</x:v>
      </x:c>
      <x:c r="E35" t="str">
        <x:v>按组织规模</x:v>
      </x:c>
      <x:c r="F35" t="str">
        <x:v>年</x:v>
      </x:c>
      <x:c r="G35" s="49" t="n">
        <x:v>0.7</x:v>
      </x:c>
      <x:c r="H35" s="49" t="n">
        <x:v>1</x:v>
      </x:c>
      <x:c r="I35" s="49" t="n">
        <x:v>1.5</x:v>
      </x:c>
      <x:c r="J35" s="50" t="n">
        <x:f>IF('02_假设与情景'!$B$5="S1",G35,IF('02_假设与情景'!$B$5="S2",H35,I35))</x:f>
        <x:v>1</x:v>
      </x:c>
      <x:c r="K35" s="56" t="n">
        <x:v>150000</x:v>
      </x:c>
      <x:c r="L35" s="29" t="str">
        <x:v>CNY</x:v>
      </x:c>
      <x:c r="M35" s="29" t="str">
        <x:v>原始来源税态未统一披露；模型按含税到厂预算口径归一化，正式询价复核</x:v>
      </x:c>
      <x:c r="N35" s="29"/>
      <x:c r="O35" s="29"/>
      <x:c r="P35" s="57" t="n">
        <x:v>150000</x:v>
      </x:c>
      <x:c r="Q35" s="57" t="n">
        <x:v>144092.219</x:v>
      </x:c>
      <x:c r="R35" s="57" t="n">
        <x:v>148243.0237</x:v>
      </x:c>
      <x:c r="S35" s="57" t="n">
        <x:v>70000</x:v>
      </x:c>
      <x:c r="T35" s="57" t="n">
        <x:v>300000</x:v>
      </x:c>
      <x:c r="U35" s="52" t="n">
        <x:f>ROUND(J35*P35,2)</x:f>
        <x:v>150000</x:v>
      </x:c>
      <x:c r="V35" s="52" t="n">
        <x:f>ROUND(J35*S35,2)</x:f>
        <x:v>70000</x:v>
      </x:c>
      <x:c r="W35" s="52" t="n">
        <x:f>ROUND(J35*T35,2)</x:f>
        <x:v>300000</x:v>
      </x:c>
      <x:c r="X35" s="53" t="n">
        <x:v>2</x:v>
      </x:c>
      <x:c r="Y35" s="59" t="str">
        <x:v>SRC-031, SRC-009, SRC-010, SRC-011</x:v>
      </x:c>
      <x:c r="Z35" s="59" t="str">
        <x:v>需正式询价；当前值仅作预算占位或低可信市场锚点</x:v>
      </x:c>
      <x:c r="AA35" s="59" t="str">
        <x:v>办公、研发</x:v>
      </x:c>
      <x:c r="AB3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6">
      <x:c r="A36" t="str">
        <x:v>OPEX-031</x:v>
      </x:c>
      <x:c r="B36" t="str">
        <x:v>风险准备</x:v>
      </x:c>
      <x:c r="C36" t="str">
        <x:v>批次失败准备金</x:v>
      </x:c>
      <x:c r="D36" t="str">
        <x:v>批次报废、偏差调查和召回演练准备</x:v>
      </x:c>
      <x:c r="E36" t="str">
        <x:v>按可变生产成本比例</x:v>
      </x:c>
      <x:c r="F36" t="str">
        <x:v>年</x:v>
      </x:c>
      <x:c r="G36" s="49" t="n">
        <x:v>0.5</x:v>
      </x:c>
      <x:c r="H36" s="49" t="n">
        <x:v>1</x:v>
      </x:c>
      <x:c r="I36" s="49" t="n">
        <x:v>2</x:v>
      </x:c>
      <x:c r="J36" s="50" t="n">
        <x:f>IF('02_假设与情景'!$B$5="S1",G36,IF('02_假设与情景'!$B$5="S2",H36,I36))</x:f>
        <x:v>1</x:v>
      </x:c>
      <x:c r="K36" s="56" t="n">
        <x:v>300000</x:v>
      </x:c>
      <x:c r="L36" s="29" t="str">
        <x:v>CNY</x:v>
      </x:c>
      <x:c r="M36" s="29" t="str">
        <x:v>原始来源税态未统一披露；模型按含税到厂预算口径归一化，正式询价复核</x:v>
      </x:c>
      <x:c r="N36" s="29"/>
      <x:c r="O36" s="29"/>
      <x:c r="P36" s="57" t="n">
        <x:v>300000</x:v>
      </x:c>
      <x:c r="Q36" s="57" t="n">
        <x:v>288184.438</x:v>
      </x:c>
      <x:c r="R36" s="57" t="n">
        <x:v>296486.0473</x:v>
      </x:c>
      <x:c r="S36" s="57" t="n">
        <x:v>150000</x:v>
      </x:c>
      <x:c r="T36" s="57" t="n">
        <x:v>800000</x:v>
      </x:c>
      <x:c r="U36" s="52" t="n">
        <x:f>ROUND(J36*P36,2)</x:f>
        <x:v>300000</x:v>
      </x:c>
      <x:c r="V36" s="52" t="n">
        <x:f>ROUND(J36*S36,2)</x:f>
        <x:v>150000</x:v>
      </x:c>
      <x:c r="W36" s="52" t="n">
        <x:f>ROUND(J36*T36,2)</x:f>
        <x:v>800000</x:v>
      </x:c>
      <x:c r="X36" s="53" t="n">
        <x:v>1</x:v>
      </x:c>
      <x:c r="Y36" s="59" t="str">
        <x:v>SRC-031, SRC-009, SRC-010, SRC-011</x:v>
      </x:c>
      <x:c r="Z36" s="59" t="str">
        <x:v>需正式询价；当前值仅作预算占位或低可信市场锚点</x:v>
      </x:c>
      <x:c r="AA36" s="59" t="str">
        <x:v>半成品全项合格/停电报废风险</x:v>
      </x:c>
      <x:c r="AB3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7">
      <x:c r="A37" s="46" t="str">
        <x:v>OPEX 总计</x:v>
      </x:c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8" t="n">
        <x:f>ROUND(SUM(U6:U36),2)</x:f>
        <x:v>13939700</x:v>
      </x:c>
      <x:c r="V37" s="48" t="n">
        <x:f>ROUND(SUM(V6:V36),2)</x:f>
        <x:v>9222500</x:v>
      </x:c>
      <x:c r="W37" s="48" t="n">
        <x:f>ROUND(SUM(W6:W36),2)</x:f>
        <x:v>24039900</x:v>
      </x:c>
      <x:c r="X37" s="46"/>
      <x:c r="Y37" s="46"/>
      <x:c r="Z37" s="46"/>
      <x:c r="AA37" s="46"/>
      <x:c r="AB37" s="46"/>
    </x:row>
  </x:sheetData>
  <x:mergeCells>
    <x:mergeCell ref="A1:AB1"/>
    <x:mergeCell ref="A2:AB2"/>
    <x:mergeCell ref="A37:T37"/>
  </x:mergeCells>
  <x:conditionalFormatting sqref="Z6:Z36">
    <x:cfRule type="containsText" dxfId="2" priority="1" operator="containsText" text="需正式询价"/>
  </x:conditionalFormatting>
  <x:conditionalFormatting sqref="X6:X36">
    <x:cfRule type="colorScale" priority="2">
      <x:colorScale>
        <x:cfvo type="min"/>
        <x:cfvo type="percentile" val="50"/>
        <x:cfvo type="max"/>
        <x:color rgb="FFF8BBD0"/>
        <x:color rgb="FFFFF9C4"/>
        <x:color rgb="FFC8E6C9"/>
      </x:colorScale>
    </x:cfRule>
  </x:conditionalFormatting>
  <x:pageMargins left="0.7" right="0.7" top="0.75" bottom="0.75" header="0.3" footer="0.3"/>
  <x:legacyDrawing xmlns:r="http://schemas.openxmlformats.org/officeDocument/2006/relationships" r:id="R3cf298a0e5f94f00"/>
  <x:tableParts count="1">
    <x:tablePart xmlns:r="http://schemas.openxmlformats.org/officeDocument/2006/relationships" r:id="R200bb1ec470e43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24" hidden="0" customWidth="1"/>
    <x:col min="5" max="5" width="48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9" hidden="0" customWidth="1"/>
    <x:col min="13" max="13" width="30" hidden="0" customWidth="1"/>
    <x:col min="14" max="14" width="12" hidden="0" customWidth="1"/>
    <x:col min="15" max="15" width="12" hidden="0" customWidth="1"/>
    <x:col min="16" max="16" width="15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8" hidden="0" customWidth="1"/>
    <x:col min="22" max="22" width="18" hidden="0" customWidth="1"/>
    <x:col min="23" max="23" width="18" hidden="0" customWidth="1"/>
    <x:col min="24" max="24" width="11" hidden="0" customWidth="1"/>
    <x:col min="25" max="25" width="24" hidden="0" customWidth="1"/>
    <x:col min="26" max="26" width="32" hidden="0" customWidth="1"/>
    <x:col min="27" max="27" width="30" hidden="0" customWidth="1"/>
    <x:col min="28" max="28" width="42" hidden="0" customWidth="1"/>
  </x:cols>
  <x:sheetData>
    <x:row r="1" ht="30" customHeight="1">
      <x:c r="A1" s="3" t="str">
        <x:v>年度原辅料与包材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2" customHeight="1">
      <x:c r="A2" s="7" t="str">
        <x:v>选中情景引用 02_假设与情景；43 个可采购/可预算项目。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3">
      <x:c r="A3" s="10" t="str">
        <x:v>当前基准总额</x:v>
      </x:c>
      <x:c r="B3" s="10"/>
      <x:c r="C3" s="10" t="str">
        <x:v>低位总额</x:v>
      </x:c>
      <x:c r="D3" s="10"/>
      <x:c r="E3" s="10" t="str">
        <x:v>高位总额</x:v>
      </x:c>
      <x:c r="F3" s="10"/>
      <x:c r="G3" s="10" t="str">
        <x:v>低可信金额</x:v>
      </x:c>
      <x:c r="H3" s="10"/>
    </x:row>
    <x:row r="4">
      <x:c r="A4" s="48" t="n">
        <x:f>ROUND(SUM(U6:U48),2)</x:f>
        <x:v>7347164.2</x:v>
      </x:c>
      <x:c r="B4" s="48"/>
      <x:c r="C4" s="48" t="n">
        <x:f>ROUND(SUM(V6:V48),2)</x:f>
        <x:v>4465266.55</x:v>
      </x:c>
      <x:c r="D4" s="48"/>
      <x:c r="E4" s="48" t="n">
        <x:f>ROUND(SUM(W6:W48),2)</x:f>
        <x:v>13871239.48</x:v>
      </x:c>
      <x:c r="F4" s="48"/>
      <x:c r="G4" s="48" t="n">
        <x:f>ROUND(SUMIF(X6:X48,"&lt;=4",U6:U48),2)</x:f>
        <x:v>5190882.82</x:v>
      </x:c>
      <x:c r="H4" s="48"/>
    </x:row>
    <x:row r="5">
      <x:c r="A5" s="25" t="str">
        <x:v>项目ID</x:v>
      </x:c>
      <x:c r="B5" s="26" t="str">
        <x:v>类别</x:v>
      </x:c>
      <x:c r="C5" s="26" t="str">
        <x:v>子类别</x:v>
      </x:c>
      <x:c r="D5" s="26" t="str">
        <x:v>项目</x:v>
      </x:c>
      <x:c r="E5" s="26" t="str">
        <x:v>规格/服务边界</x:v>
      </x:c>
      <x:c r="F5" s="26" t="str">
        <x:v>单位</x:v>
      </x:c>
      <x:c r="G5" s="26" t="str">
        <x:v>S1数量</x:v>
      </x:c>
      <x:c r="H5" s="26" t="str">
        <x:v>S2数量</x:v>
      </x:c>
      <x:c r="I5" s="26" t="str">
        <x:v>S3数量</x:v>
      </x:c>
      <x:c r="J5" s="26" t="str">
        <x:v>选中数量</x:v>
      </x:c>
      <x:c r="K5" s="26" t="str">
        <x:v>原始价</x:v>
      </x:c>
      <x:c r="L5" s="26" t="str">
        <x:v>币种</x:v>
      </x:c>
      <x:c r="M5" s="26" t="str">
        <x:v>税态</x:v>
      </x:c>
      <x:c r="N5" s="26" t="str">
        <x:v>运费</x:v>
      </x:c>
      <x:c r="O5" s="26" t="str">
        <x:v>安装调试</x:v>
      </x:c>
      <x:c r="P5" s="26" t="str">
        <x:v>当前到厂单价</x:v>
      </x:c>
      <x:c r="Q5" s="26" t="str">
        <x:v>2025单价</x:v>
      </x:c>
      <x:c r="R5" s="26" t="str">
        <x:v>2024单价</x:v>
      </x:c>
      <x:c r="S5" s="26" t="str">
        <x:v>低价</x:v>
      </x:c>
      <x:c r="T5" s="26" t="str">
        <x:v>高价</x:v>
      </x:c>
      <x:c r="U5" s="26" t="str">
        <x:v>当前金额</x:v>
      </x:c>
      <x:c r="V5" s="26" t="str">
        <x:v>低位金额</x:v>
      </x:c>
      <x:c r="W5" s="26" t="str">
        <x:v>高位金额</x:v>
      </x:c>
      <x:c r="X5" s="26" t="str">
        <x:v>当前可信度</x:v>
      </x:c>
      <x:c r="Y5" s="26" t="str">
        <x:v>来源ID</x:v>
      </x:c>
      <x:c r="Z5" s="26" t="str">
        <x:v>询价状态</x:v>
      </x:c>
      <x:c r="AA5" s="26" t="str">
        <x:v>流程映射</x:v>
      </x:c>
      <x:c r="AB5" s="27" t="str">
        <x:v>备注</x:v>
      </x:c>
    </x:row>
    <x:row r="6">
      <x:c r="A6" t="str">
        <x:v>BOM-001</x:v>
      </x:c>
      <x:c r="B6" t="str">
        <x:v>寡核苷酸</x:v>
      </x:c>
      <x:c r="C6" t="str">
        <x:v>PCR引物</x:v>
      </x:c>
      <x:c r="D6" t="str">
        <x:v>正向PCR引物（21 nt，无修饰）</x:v>
      </x:c>
      <x:c r="E6" s="12" t="str">
        <x:v>5′-CTTCATGAAGACCTCACAGT-3′；21 nt；无FAM/ROX/BHQ/C3/PS；HPLC纯化按论文材料方法和流程要求建模</x:v>
      </x:c>
      <x:c r="F6" t="str">
        <x:v>10 OD等效批</x:v>
      </x:c>
      <x:c r="G6" s="49" t="n">
        <x:v>75.684</x:v>
      </x:c>
      <x:c r="H6" s="49" t="n">
        <x:v>378.42</x:v>
      </x:c>
      <x:c r="I6" s="49" t="n">
        <x:v>1513.68</x:v>
      </x:c>
      <x:c r="J6" s="50" t="n">
        <x:f>IF('02_假设与情景'!$B$5="S1",G6,IF('02_假设与情景'!$B$5="S2",H6,I6))/'02_假设与情景'!$B$8*(1+'02_假设与情景'!$B$9)</x:f>
        <x:v>431.8923913043479</x:v>
      </x:c>
      <x:c r="K6" s="56" t="n">
        <x:v>180</x:v>
      </x:c>
      <x:c r="L6" s="29" t="str">
        <x:v>CNY</x:v>
      </x:c>
      <x:c r="M6" s="29" t="str">
        <x:v>公开普通引物锚点与内部10 OD代理；HPLC、税费、运费、MOQ和交付边界未统一，正式RFQ复核</x:v>
      </x:c>
      <x:c r="N6" s="29"/>
      <x:c r="O6" s="29"/>
      <x:c r="P6" s="57" t="n">
        <x:v>180</x:v>
      </x:c>
      <x:c r="Q6" s="57" t="n">
        <x:v>180</x:v>
      </x:c>
      <x:c r="R6" s="57" t="n">
        <x:v>180</x:v>
      </x:c>
      <x:c r="S6" s="57" t="n">
        <x:v>120</x:v>
      </x:c>
      <x:c r="T6" s="57" t="n">
        <x:v>350</x:v>
      </x:c>
      <x:c r="U6" s="52" t="n">
        <x:f>ROUND(J6*P6,2)</x:f>
        <x:v>77740.63</x:v>
      </x:c>
      <x:c r="V6" s="52" t="n">
        <x:f>ROUND(J6*S6,2)</x:f>
        <x:v>51827.09</x:v>
      </x:c>
      <x:c r="W6" s="52" t="n">
        <x:f>ROUND(J6*T6,2)</x:f>
        <x:v>151162.34</x:v>
      </x:c>
      <x:c r="X6" s="53" t="n">
        <x:v>3</x:v>
      </x:c>
      <x:c r="Y6" s="59" t="str">
        <x:v>SRC-001, SRC-002, SRC-003, SRC-032, SRC-034, SRC-036</x:v>
      </x:c>
      <x:c r="Z6" s="59" t="str">
        <x:v>需正式询价；当前值仅作10 OD等效预算代理</x:v>
      </x:c>
      <x:c r="AA6" s="59" t="str">
        <x:v>正反义探针设计/引物；核心流程PCR Mix 680 μL×0.53 μM；论文PCR整合方法</x:v>
      </x:c>
      <x:c r="AB6" s="59" t="str">
        <x:v>每盒投料=680 μL×0.53 μM=0.3604 nmol。论文400 nM是最终PCR反应浓度，0.53 μM是核心流程PCR Mix产品配方浓度；若按15 μL Mix+5 μL模板形成20 μL反应，则终浓度397.5 nM≈400 nM，但5 μL模板/20 μL总体积仍须在工程批记录中确认。旧C3-spacer和单PS设计不得继续计价</x:v>
      </x:c>
    </x:row>
    <x:row r="7">
      <x:c r="A7" t="str">
        <x:v>BOM-002</x:v>
      </x:c>
      <x:c r="B7" t="str">
        <x:v>寡核苷酸</x:v>
      </x:c>
      <x:c r="C7" t="str">
        <x:v>PCR引物</x:v>
      </x:c>
      <x:c r="D7" t="str">
        <x:v>反向PCR引物（20 nt，无修饰）</x:v>
      </x:c>
      <x:c r="E7" s="12" t="str">
        <x:v>5′-GGATCCAGACAACTGTTCAA-3′；20 nt；无FAM/ROX/BHQ/C3/PS；HPLC纯化按论文材料方法和流程要求建模</x:v>
      </x:c>
      <x:c r="F7" t="str">
        <x:v>10 OD等效批</x:v>
      </x:c>
      <x:c r="G7" s="49" t="n">
        <x:v>72.08</x:v>
      </x:c>
      <x:c r="H7" s="49" t="n">
        <x:v>360.4</x:v>
      </x:c>
      <x:c r="I7" s="49" t="n">
        <x:v>1441.6</x:v>
      </x:c>
      <x:c r="J7" s="50" t="n">
        <x:f>IF('02_假设与情景'!$B$5="S1",G7,IF('02_假设与情景'!$B$5="S2",H7,I7))/'02_假设与情景'!$B$8*(1+'02_假设与情景'!$B$9)</x:f>
        <x:v>411.3260869565217</x:v>
      </x:c>
      <x:c r="K7" s="56" t="n">
        <x:v>180</x:v>
      </x:c>
      <x:c r="L7" s="29" t="str">
        <x:v>CNY</x:v>
      </x:c>
      <x:c r="M7" s="29" t="str">
        <x:v>公开普通引物锚点与内部10 OD代理；HPLC、税费、运费、MOQ和交付边界未统一，正式RFQ复核</x:v>
      </x:c>
      <x:c r="N7" s="29"/>
      <x:c r="O7" s="29"/>
      <x:c r="P7" s="57" t="n">
        <x:v>180</x:v>
      </x:c>
      <x:c r="Q7" s="57" t="n">
        <x:v>180</x:v>
      </x:c>
      <x:c r="R7" s="57" t="n">
        <x:v>180</x:v>
      </x:c>
      <x:c r="S7" s="57" t="n">
        <x:v>120</x:v>
      </x:c>
      <x:c r="T7" s="57" t="n">
        <x:v>350</x:v>
      </x:c>
      <x:c r="U7" s="52" t="n">
        <x:f>ROUND(J7*P7,2)</x:f>
        <x:v>74038.7</x:v>
      </x:c>
      <x:c r="V7" s="52" t="n">
        <x:f>ROUND(J7*S7,2)</x:f>
        <x:v>49359.13</x:v>
      </x:c>
      <x:c r="W7" s="52" t="n">
        <x:f>ROUND(J7*T7,2)</x:f>
        <x:v>143964.13</x:v>
      </x:c>
      <x:c r="X7" s="53" t="n">
        <x:v>3</x:v>
      </x:c>
      <x:c r="Y7" s="59" t="str">
        <x:v>SRC-001, SRC-002, SRC-003, SRC-032, SRC-034, SRC-036</x:v>
      </x:c>
      <x:c r="Z7" s="59" t="str">
        <x:v>需正式询价；当前值仅作10 OD等效预算代理</x:v>
      </x:c>
      <x:c r="AA7" s="59" t="str">
        <x:v>正反义探针设计/引物；核心流程PCR Mix 680 μL×0.53 μM；论文PCR整合方法</x:v>
      </x:c>
      <x:c r="AB7" s="59" t="str">
        <x:v>每盒投料=680 μL×0.53 μM=0.3604 nmol。论文400 nM是最终PCR反应浓度，0.53 μM是核心流程PCR Mix产品配方浓度；按15 μL/20 μL的条件计算可得到397.5 nM，但总反应体积尚需工程确认。旧18 nt反向引物已被最新版20 nt序列替代</x:v>
      </x:c>
    </x:row>
    <x:row r="8">
      <x:c r="A8" t="str">
        <x:v>BOM-003</x:v>
      </x:c>
      <x:c r="B8" t="str">
        <x:v>寡核苷酸</x:v>
      </x:c>
      <x:c r="C8" t="str">
        <x:v>双端淬灭P链</x:v>
      </x:c>
      <x:c r="D8" t="str">
        <x:v>P链（5′BHQ2/3′BHQ1，17 nt）</x:v>
      </x:c>
      <x:c r="E8" s="12" t="str">
        <x:v>5′-BHQ2-TGGTCTAGCTACAGAGA-3′-BHQ1；17 nt；BHQ2/BHQ1为商业修饰名，必须按5′/3′端位下单</x:v>
      </x:c>
      <x:c r="F8" t="str">
        <x:v>10 OD等效批</x:v>
      </x:c>
      <x:c r="G8" s="49" t="n">
        <x:v>63.75</x:v>
      </x:c>
      <x:c r="H8" s="49" t="n">
        <x:v>318.75</x:v>
      </x:c>
      <x:c r="I8" s="49" t="n">
        <x:v>1275</x:v>
      </x:c>
      <x:c r="J8" s="50" t="n">
        <x:f>IF('02_假设与情景'!$B$5="S1",G8,IF('02_假设与情景'!$B$5="S2",H8,I8))/'02_假设与情景'!$B$8*(1+'02_假设与情景'!$B$9)</x:f>
        <x:v>363.79076086956525</x:v>
      </x:c>
      <x:c r="K8" s="56" t="n">
        <x:v>1800</x:v>
      </x:c>
      <x:c r="L8" s="29" t="str">
        <x:v>CNY</x:v>
      </x:c>
      <x:c r="M8" s="29" t="str">
        <x:v>Thermo/GenScript为相似修饰锚点；最终双BHQ构型、税费和交付未报价</x:v>
      </x:c>
      <x:c r="N8" s="29"/>
      <x:c r="O8" s="29"/>
      <x:c r="P8" s="57" t="n">
        <x:v>1800</x:v>
      </x:c>
      <x:c r="Q8" s="57" t="n">
        <x:v>1800</x:v>
      </x:c>
      <x:c r="R8" s="57" t="n">
        <x:v>1800</x:v>
      </x:c>
      <x:c r="S8" s="57" t="n">
        <x:v>1400</x:v>
      </x:c>
      <x:c r="T8" s="57" t="n">
        <x:v>2600</x:v>
      </x:c>
      <x:c r="U8" s="52" t="n">
        <x:f>ROUND(J8*P8,2)</x:f>
        <x:v>654823.37</x:v>
      </x:c>
      <x:c r="V8" s="52" t="n">
        <x:f>ROUND(J8*S8,2)</x:f>
        <x:v>509307.07</x:v>
      </x:c>
      <x:c r="W8" s="52" t="n">
        <x:f>ROUND(J8*T8,2)</x:f>
        <x:v>945855.98</x:v>
      </x:c>
      <x:c r="X8" s="53" t="n">
        <x:v>3</x:v>
      </x:c>
      <x:c r="Y8" s="59" t="str">
        <x:v>SRC-001, SRC-002, SRC-003, SRC-032, SRC-033, SRC-034, SRC-035, SRC-036</x:v>
      </x:c>
      <x:c r="Z8" s="59" t="str">
        <x:v>需正式询价；当前值仅作10 OD等效预算代理</x:v>
      </x:c>
      <x:c r="AA8" s="59" t="str">
        <x:v>正反义探针设计/CP上P；核心流程3×CD Mix 500 μL×750 nM CP；论文CD-probe原理</x:v>
      </x:c>
      <x:c r="AB8" s="59" t="str">
        <x:v>每盒P=500 μL×750 nM=0.375 nmol。750 nM CP是核心流程3×CD Mix库存配方；论文20 nM CP是研究反应条件，两者尚不能由已给加样体积直接闭合，正式放大前必须确认CD总反应体积与有效稀释倍数。双BHQ组合价仍为10 OD等效预算代理</x:v>
      </x:c>
    </x:row>
    <x:row r="9">
      <x:c r="A9" t="str">
        <x:v>BOM-004</x:v>
      </x:c>
      <x:c r="B9" t="str">
        <x:v>寡核苷酸</x:v>
      </x:c>
      <x:c r="C9" t="str">
        <x:v>双荧光C链</x:v>
      </x:c>
      <x:c r="D9" t="str">
        <x:v>C链（5′ROX/3′FAM，22 nt）</x:v>
      </x:c>
      <x:c r="E9" s="12" t="str">
        <x:v>设计原文3′→5′：FAM-3′-ACCAGATCGATGTCTCTTTAGA-5′-ROX；采购5′→3′：5′-ROX-AGATTTCTCTGTAGCTAGACCA-3′-FAM；22 nt</x:v>
      </x:c>
      <x:c r="F9" t="str">
        <x:v>10 OD等效批</x:v>
      </x:c>
      <x:c r="G9" s="49" t="n">
        <x:v>82.5</x:v>
      </x:c>
      <x:c r="H9" s="49" t="n">
        <x:v>412.5</x:v>
      </x:c>
      <x:c r="I9" s="49" t="n">
        <x:v>1650</x:v>
      </x:c>
      <x:c r="J9" s="50" t="n">
        <x:f>IF('02_假设与情景'!$B$5="S1",G9,IF('02_假设与情景'!$B$5="S2",H9,I9))/'02_假设与情景'!$B$8*(1+'02_假设与情景'!$B$9)</x:f>
        <x:v>470.7880434782609</x:v>
      </x:c>
      <x:c r="K9" s="56" t="n">
        <x:v>1500</x:v>
      </x:c>
      <x:c r="L9" s="29" t="str">
        <x:v>CNY</x:v>
      </x:c>
      <x:c r="M9" s="29" t="str">
        <x:v>Thermo/GenScript为相似修饰锚点；最终ROX/FAM构型、税费和交付未报价</x:v>
      </x:c>
      <x:c r="N9" s="29"/>
      <x:c r="O9" s="29"/>
      <x:c r="P9" s="57" t="n">
        <x:v>1500</x:v>
      </x:c>
      <x:c r="Q9" s="57" t="n">
        <x:v>1500</x:v>
      </x:c>
      <x:c r="R9" s="57" t="n">
        <x:v>1500</x:v>
      </x:c>
      <x:c r="S9" s="57" t="n">
        <x:v>1000</x:v>
      </x:c>
      <x:c r="T9" s="57" t="n">
        <x:v>2200</x:v>
      </x:c>
      <x:c r="U9" s="52" t="n">
        <x:f>ROUND(J9*P9,2)</x:f>
        <x:v>706182.07</x:v>
      </x:c>
      <x:c r="V9" s="52" t="n">
        <x:f>ROUND(J9*S9,2)</x:f>
        <x:v>470788.04</x:v>
      </x:c>
      <x:c r="W9" s="52" t="n">
        <x:f>ROUND(J9*T9,2)</x:f>
        <x:v>1035733.7</x:v>
      </x:c>
      <x:c r="X9" s="53" t="n">
        <x:v>3</x:v>
      </x:c>
      <x:c r="Y9" s="59" t="str">
        <x:v>SRC-001, SRC-002, SRC-003, SRC-032, SRC-033, SRC-034, SRC-035, SRC-036</x:v>
      </x:c>
      <x:c r="Z9" s="59" t="str">
        <x:v>需正式询价；当前值仅作10 OD等效预算代理</x:v>
      </x:c>
      <x:c r="AA9" s="59" t="str">
        <x:v>正反义探针设计/CP下C；核心流程3×CD Mix 500 μL×750 nM CP；论文双通道原理</x:v>
      </x:c>
      <x:c r="AB9" s="59" t="str">
        <x:v>每盒C=500 μL×750 nM=0.375 nmol。750 nM CP是核心流程3×CD Mix库存配方；论文20 nM CP是研究反应条件，稀释关系待工程闭合。FAM/ROX是商业修饰名，采购序列必须明确5′ROX和3′FAM，不得只写商品名</x:v>
      </x:c>
    </x:row>
    <x:row r="10">
      <x:c r="A10" t="str">
        <x:v>BOM-005</x:v>
      </x:c>
      <x:c r="B10" t="str">
        <x:v>寡核苷酸</x:v>
      </x:c>
      <x:c r="C10" t="str">
        <x:v>单淬灭F链</x:v>
      </x:c>
      <x:c r="D10" t="str">
        <x:v>F链（5′BHQ2，17 nt）</x:v>
      </x:c>
      <x:c r="E10" s="12" t="str">
        <x:v>5′-BHQ2-TGGTCTAGCTACAGAGA-3′；17 nt；单5′BHQ2；与P碱基相同但3′无BHQ1</x:v>
      </x:c>
      <x:c r="F10" t="str">
        <x:v>10 OD等效批</x:v>
      </x:c>
      <x:c r="G10" s="49" t="n">
        <x:v>96.9</x:v>
      </x:c>
      <x:c r="H10" s="49" t="n">
        <x:v>484.5</x:v>
      </x:c>
      <x:c r="I10" s="49" t="n">
        <x:v>1938</x:v>
      </x:c>
      <x:c r="J10" s="50" t="n">
        <x:f>IF('02_假设与情景'!$B$5="S1",G10,IF('02_假设与情景'!$B$5="S2",H10,I10))/'02_假设与情景'!$B$8*(1+'02_假设与情景'!$B$9)</x:f>
        <x:v>552.9619565217391</x:v>
      </x:c>
      <x:c r="K10" s="56" t="n">
        <x:v>900</x:v>
      </x:c>
      <x:c r="L10" s="29" t="str">
        <x:v>CNY</x:v>
      </x:c>
      <x:c r="M10" s="29" t="str">
        <x:v>相似修饰锚点与内部代理；最终单BHQ2构型、税费和交付未报价</x:v>
      </x:c>
      <x:c r="N10" s="29"/>
      <x:c r="O10" s="29"/>
      <x:c r="P10" s="57" t="n">
        <x:v>900</x:v>
      </x:c>
      <x:c r="Q10" s="57" t="n">
        <x:v>900</x:v>
      </x:c>
      <x:c r="R10" s="57" t="n">
        <x:v>900</x:v>
      </x:c>
      <x:c r="S10" s="57" t="n">
        <x:v>700</x:v>
      </x:c>
      <x:c r="T10" s="57" t="n">
        <x:v>1400</x:v>
      </x:c>
      <x:c r="U10" s="52" t="n">
        <x:f>ROUND(J10*P10,2)</x:f>
        <x:v>497665.76</x:v>
      </x:c>
      <x:c r="V10" s="52" t="n">
        <x:f>ROUND(J10*S10,2)</x:f>
        <x:v>387073.37</x:v>
      </x:c>
      <x:c r="W10" s="52" t="n">
        <x:f>ROUND(J10*T10,2)</x:f>
        <x:v>774146.74</x:v>
      </x:c>
      <x:c r="X10" s="53" t="n">
        <x:v>3</x:v>
      </x:c>
      <x:c r="Y10" s="59" t="str">
        <x:v>SRC-001, SRC-002, SRC-003, SRC-032, SRC-033, SRC-034, SRC-035, SRC-036</x:v>
      </x:c>
      <x:c r="Z10" s="59" t="str">
        <x:v>需正式询价；当前值仅作10 OD等效预算代理</x:v>
      </x:c>
      <x:c r="AA10" s="59" t="str">
        <x:v>正反义探针设计/F；核心流程3×CD Mix 500 μL×1140 nM F；论文催化燃料链原理</x:v>
      </x:c>
      <x:c r="AB10" s="59" t="str">
        <x:v>每盒F=500 μL×1140 nM=0.57 nmol。1140 nM F是核心流程3×库存配方，按名义1:3稀释可得到论文实验所用380 nM，但实际加样总体积仍须工程确认。最新版设计采用5′BHQ2，不能沿用论文早期3′BHQ1文字或旧25 nt序列</x:v>
      </x:c>
    </x:row>
    <x:row r="11">
      <x:c r="A11" t="str">
        <x:v>BOM-006</x:v>
      </x:c>
      <x:c r="B11" t="str">
        <x:v>废止占位</x:v>
      </x:c>
      <x:c r="C11" t="str">
        <x:v>旧6链冲突</x:v>
      </x:c>
      <x:c r="D11" t="str">
        <x:v>旧竞争C/封闭C拆分占位（废止）</x:v>
      </x:c>
      <x:c r="E11" s="12" t="str">
        <x:v>旧流程把C拆成竞争链与封闭链；最新版CP仅含P、C，另有F，不新增第六条CD链</x:v>
      </x:c>
      <x:c r="F11" t="str">
        <x:v>10 OD等效批</x:v>
      </x:c>
      <x:c r="G11" s="49" t="n">
        <x:v>0</x:v>
      </x:c>
      <x:c r="H11" s="49" t="n">
        <x:v>0</x:v>
      </x:c>
      <x:c r="I11" s="49" t="n">
        <x:v>0</x:v>
      </x:c>
      <x:c r="J11" s="50" t="n">
        <x:f>IF('02_假设与情景'!$B$5="S1",G11,IF('02_假设与情景'!$B$5="S2",H11,I11))/'02_假设与情景'!$B$8*(1+'02_假设与情景'!$B$9)</x:f>
        <x:v>0</x:v>
      </x:c>
      <x:c r="K11" s="56" t="n">
        <x:v>0</x:v>
      </x:c>
      <x:c r="L11" s="29" t="str">
        <x:v>CNY</x:v>
      </x:c>
      <x:c r="M11" s="29" t="str">
        <x:v>不适用</x:v>
      </x:c>
      <x:c r="N11" s="29"/>
      <x:c r="O11" s="29"/>
      <x:c r="P11" s="57" t="n">
        <x:v>0</x:v>
      </x:c>
      <x:c r="Q11" s="57" t="n">
        <x:v>0</x:v>
      </x:c>
      <x:c r="R11" s="57" t="n">
        <x:v>0</x:v>
      </x:c>
      <x:c r="S11" s="57" t="n">
        <x:v>0</x:v>
      </x:c>
      <x:c r="T11" s="57" t="n">
        <x:v>0</x:v>
      </x:c>
      <x:c r="U11" s="52" t="n">
        <x:f>ROUND(J11*P11,2)</x:f>
        <x:v>0</x:v>
      </x:c>
      <x:c r="V11" s="52" t="n">
        <x:f>ROUND(J11*S11,2)</x:f>
        <x:v>0</x:v>
      </x:c>
      <x:c r="W11" s="52" t="n">
        <x:f>ROUND(J11*T11,2)</x:f>
        <x:v>0</x:v>
      </x:c>
      <x:c r="X11" s="53" t="n">
        <x:v>0</x:v>
      </x:c>
      <x:c r="Y11" s="59" t="str">
        <x:v>SRC-001, SRC-034, SRC-035, SRC-036</x:v>
      </x:c>
      <x:c r="Z11" s="59" t="str">
        <x:v>不计费；旧第六链冲突占位</x:v>
      </x:c>
      <x:c r="AA11" s="59" t="str">
        <x:v>旧流程6链描述与最新版探针设计冲突</x:v>
      </x:c>
      <x:c r="AB11" s="59" t="str">
        <x:v>仅作冲突审计；数量、金额和替代方案价格必须为0。H1-H7是PANDA辅助链，不能误认为旧第六条CD链</x:v>
      </x:c>
    </x:row>
    <x:row r="12" ht="76" customHeight="1">
      <x:c r="A12" t="str">
        <x:v>BOM-007</x:v>
      </x:c>
      <x:c r="B12" t="str">
        <x:v>质粒对照品</x:v>
      </x:c>
      <x:c r="C12" t="str">
        <x:v>质粒对照品</x:v>
      </x:c>
      <x:c r="D12" t="str">
        <x:v>BRAF野生型质粒对照库（年度批）</x:v>
      </x:c>
      <x:c r="E12" s="12" t="str">
        <x:v>pUC57+WT；WT插入序列5′-CTTCATGAAGACCTCACAGTAAAAATAGGTGATTTTGGTCTAGCTACAGTGAAATCTCGATGGAGTGGGTCCCATCAGTTTGAACAGTTGTCTGGATCC-3′；序列确认、扩增、纯化、浓度标定和低温留样；不按每微克消耗计价</x:v>
      </x:c>
      <x:c r="F12" t="str">
        <x:v>年度定制/扩增批</x:v>
      </x:c>
      <x:c r="G12" s="49" t="n">
        <x:v>1</x:v>
      </x:c>
      <x:c r="H12" s="49" t="n">
        <x:v>1</x:v>
      </x:c>
      <x:c r="I12" s="49" t="n">
        <x:v>2</x:v>
      </x:c>
      <x:c r="J12" s="50" t="n">
        <x:f>IF('02_假设与情景'!$B$5="S1",G12,IF('02_假设与情景'!$B$5="S2",H12,I12))</x:f>
        <x:v>1</x:v>
      </x:c>
      <x:c r="K12" s="56" t="n">
        <x:v>48000</x:v>
      </x:c>
      <x:c r="L12" s="29" t="str">
        <x:v>CNY</x:v>
      </x:c>
      <x:c r="M12" s="29" t="str">
        <x:v>原始来源税态未统一披露；模型按含税到厂预算口径归一化，正式询价复核</x:v>
      </x:c>
      <x:c r="N12" s="29"/>
      <x:c r="O12" s="29"/>
      <x:c r="P12" s="57" t="n">
        <x:v>48000</x:v>
      </x:c>
      <x:c r="Q12" s="57" t="n">
        <x:v>48000</x:v>
      </x:c>
      <x:c r="R12" s="57" t="n">
        <x:v>45000</x:v>
      </x:c>
      <x:c r="S12" s="57" t="n">
        <x:v>25000</x:v>
      </x:c>
      <x:c r="T12" s="57" t="n">
        <x:v>100000</x:v>
      </x:c>
      <x:c r="U12" s="52" t="n">
        <x:f>ROUND(J12*P12,2)</x:f>
        <x:v>48000</x:v>
      </x:c>
      <x:c r="V12" s="52" t="n">
        <x:f>ROUND(J12*S12,2)</x:f>
        <x:v>25000</x:v>
      </x:c>
      <x:c r="W12" s="52" t="n">
        <x:f>ROUND(J12*T12,2)</x:f>
        <x:v>100000</x:v>
      </x:c>
      <x:c r="X12" s="53" t="n">
        <x:v>3</x:v>
      </x:c>
      <x:c r="Y12" s="59" t="str">
        <x:v>SRC-001, SRC-031, SRC-034, SRC-035</x:v>
      </x:c>
      <x:c r="Z12" s="59" t="str">
        <x:v>需正式询价；当前值为定制构建/扩增批预算代理</x:v>
      </x:c>
      <x:c r="AA12" s="59" t="str">
        <x:v>核心流程/阴性对照DNA；年度质粒库和拷贝数标定</x:v>
      </x:c>
      <x:c r="AB12" s="59" t="str">
        <x:v>按年度验证批采购，不按理论拷贝数换算微克；需锁定载体、序列、超螺旋比例、浓度、COA、重制责任和留样周期</x:v>
      </x:c>
    </x:row>
    <x:row r="13" ht="76" customHeight="1">
      <x:c r="A13" t="str">
        <x:v>BOM-008</x:v>
      </x:c>
      <x:c r="B13" t="str">
        <x:v>质粒对照品</x:v>
      </x:c>
      <x:c r="C13" t="str">
        <x:v>质粒对照品</x:v>
      </x:c>
      <x:c r="D13" t="str">
        <x:v>BRAF V600E突变质粒对照库（年度批）</x:v>
      </x:c>
      <x:c r="E13" s="12" t="str">
        <x:v>pUC57+V600E SNV；SNV插入序列5′-CTTCATGAAGACCTCACAGTAAAAATAGGTGATTTTGGTCTAGCTACAGAGAAATCTCGATGGAGTGGGTCCCATCAGTTTGAACAGTTGTCTGGATCC-3′；序列确认、扩增、纯化、浓度标定和低温留样；不按每微克消耗计价</x:v>
      </x:c>
      <x:c r="F13" t="str">
        <x:v>年度定制/扩增批</x:v>
      </x:c>
      <x:c r="G13" s="49" t="n">
        <x:v>1</x:v>
      </x:c>
      <x:c r="H13" s="49" t="n">
        <x:v>1</x:v>
      </x:c>
      <x:c r="I13" s="49" t="n">
        <x:v>2</x:v>
      </x:c>
      <x:c r="J13" s="50" t="n">
        <x:f>IF('02_假设与情景'!$B$5="S1",G13,IF('02_假设与情景'!$B$5="S2",H13,I13))</x:f>
        <x:v>1</x:v>
      </x:c>
      <x:c r="K13" s="56" t="n">
        <x:v>48000</x:v>
      </x:c>
      <x:c r="L13" s="29" t="str">
        <x:v>CNY</x:v>
      </x:c>
      <x:c r="M13" s="29" t="str">
        <x:v>原始来源税态未统一披露；模型按含税到厂预算口径归一化，正式询价复核</x:v>
      </x:c>
      <x:c r="N13" s="29"/>
      <x:c r="O13" s="29"/>
      <x:c r="P13" s="57" t="n">
        <x:v>48000</x:v>
      </x:c>
      <x:c r="Q13" s="57" t="n">
        <x:v>48000</x:v>
      </x:c>
      <x:c r="R13" s="57" t="n">
        <x:v>45000</x:v>
      </x:c>
      <x:c r="S13" s="57" t="n">
        <x:v>25000</x:v>
      </x:c>
      <x:c r="T13" s="57" t="n">
        <x:v>100000</x:v>
      </x:c>
      <x:c r="U13" s="52" t="n">
        <x:f>ROUND(J13*P13,2)</x:f>
        <x:v>48000</x:v>
      </x:c>
      <x:c r="V13" s="52" t="n">
        <x:f>ROUND(J13*S13,2)</x:f>
        <x:v>25000</x:v>
      </x:c>
      <x:c r="W13" s="52" t="n">
        <x:f>ROUND(J13*T13,2)</x:f>
        <x:v>100000</x:v>
      </x:c>
      <x:c r="X13" s="53" t="n">
        <x:v>3</x:v>
      </x:c>
      <x:c r="Y13" s="59" t="str">
        <x:v>SRC-001, SRC-031, SRC-034, SRC-035</x:v>
      </x:c>
      <x:c r="Z13" s="59" t="str">
        <x:v>需正式询价；当前值为定制构建/扩增批预算代理</x:v>
      </x:c>
      <x:c r="AA13" s="59" t="str">
        <x:v>核心流程/阳性对照DNA；年度质粒库和拷贝数标定</x:v>
      </x:c>
      <x:c r="AB13" s="59" t="str">
        <x:v>按年度验证批采购，不按理论拷贝数换算微克；需锁定载体、SNV位点、超螺旋比例、浓度、COA、重制责任和留样周期</x:v>
      </x:c>
    </x:row>
    <x:row r="14">
      <x:c r="A14" t="str">
        <x:v>BOM-009</x:v>
      </x:c>
      <x:c r="B14" t="str">
        <x:v>酶与核苷酸</x:v>
      </x:c>
      <x:c r="C14" t="str">
        <x:v>聚合酶</x:v>
      </x:c>
      <x:c r="D14" t="str">
        <x:v>热启动Taq DNA聚合酶</x:v>
      </x:c>
      <x:c r="E14" s="12" t="str">
        <x:v>热启动Taq；PCR Mix 680 μL/盒、0.067 U/μL，即45.56 U/盒；按kU计</x:v>
      </x:c>
      <x:c r="F14" t="str">
        <x:v>kU</x:v>
      </x:c>
      <x:c r="G14" s="49" t="n">
        <x:v>455.6</x:v>
      </x:c>
      <x:c r="H14" s="49" t="n">
        <x:v>2278</x:v>
      </x:c>
      <x:c r="I14" s="49" t="n">
        <x:v>9112</x:v>
      </x:c>
      <x:c r="J14" s="50" t="n">
        <x:f>IF('02_假设与情景'!$B$5="S1",G14,IF('02_假设与情景'!$B$5="S2",H14,I14))/'02_假设与情景'!$B$8*(1+'02_假设与情景'!$B$9)</x:f>
        <x:v>2599.891304347826</x:v>
      </x:c>
      <x:c r="K14" s="56" t="n">
        <x:v>650</x:v>
      </x:c>
      <x:c r="L14" s="29" t="str">
        <x:v>CNY</x:v>
      </x:c>
      <x:c r="M14" s="29" t="str">
        <x:v>原始来源税态未统一披露；模型按含税到厂预算口径归一化，正式询价复核</x:v>
      </x:c>
      <x:c r="N14" s="29"/>
      <x:c r="O14" s="29"/>
      <x:c r="P14" s="57" t="n">
        <x:v>650</x:v>
      </x:c>
      <x:c r="Q14" s="57" t="n">
        <x:v>624.3996</x:v>
      </x:c>
      <x:c r="R14" s="57" t="n">
        <x:v>642.3864</x:v>
      </x:c>
      <x:c r="S14" s="57" t="n">
        <x:v>400</x:v>
      </x:c>
      <x:c r="T14" s="57" t="n">
        <x:v>1200</x:v>
      </x:c>
      <x:c r="U14" s="52" t="n">
        <x:f>ROUND(J14*P14,2)</x:f>
        <x:v>1689929.35</x:v>
      </x:c>
      <x:c r="V14" s="52" t="n">
        <x:f>ROUND(J14*S14,2)</x:f>
        <x:v>1039956.52</x:v>
      </x:c>
      <x:c r="W14" s="52" t="n">
        <x:f>ROUND(J14*T14,2)</x:f>
        <x:v>3119869.57</x:v>
      </x:c>
      <x:c r="X14" s="53" t="n">
        <x:v>5</x:v>
      </x:c>
      <x:c r="Y14" s="59" t="str">
        <x:v>SRC-007, SRC-009, SRC-010, SRC-011</x:v>
      </x:c>
      <x:c r="Z14" s="59" t="str">
        <x:v>公开价格锚点；正式采购仍需同规格、同税费和服务范围询价</x:v>
      </x:c>
      <x:c r="AA14" s="59" t="str">
        <x:v>PCR核心酶原料</x:v>
      </x:c>
      <x:c r="AB14" s="59" t="str">
        <x:v>配方反推：680 μL×0.067 U/μL=45.56 U/盒；数量为理论生产用量，选中数量再应用成品良率和物料损耗</x:v>
      </x:c>
    </x:row>
    <x:row r="15">
      <x:c r="A15" t="str">
        <x:v>BOM-010</x:v>
      </x:c>
      <x:c r="B15" t="str">
        <x:v>酶与核苷酸</x:v>
      </x:c>
      <x:c r="C15" t="str">
        <x:v>dNTP</x:v>
      </x:c>
      <x:c r="D15" t="str">
        <x:v>高纯dNTP混合液</x:v>
      </x:c>
      <x:c r="E15" s="12" t="str">
        <x:v>10 mM each dNTP Mix；PCR Mix 680 μL/盒、每种dNTP终浓度267 μM；按mL计</x:v>
      </x:c>
      <x:c r="F15" t="str">
        <x:v>mL</x:v>
      </x:c>
      <x:c r="G15" s="49" t="n">
        <x:v>181.56</x:v>
      </x:c>
      <x:c r="H15" s="49" t="n">
        <x:v>907.8</x:v>
      </x:c>
      <x:c r="I15" s="49" t="n">
        <x:v>3631.2</x:v>
      </x:c>
      <x:c r="J15" s="50" t="n">
        <x:f>IF('02_假设与情景'!$B$5="S1",G15,IF('02_假设与情景'!$B$5="S2",H15,I15))/'02_假设与情景'!$B$8*(1+'02_假设与情景'!$B$9)</x:f>
        <x:v>1036.0760869565217</x:v>
      </x:c>
      <x:c r="K15" s="56" t="n">
        <x:v>450</x:v>
      </x:c>
      <x:c r="L15" s="29" t="str">
        <x:v>CNY</x:v>
      </x:c>
      <x:c r="M15" s="29" t="str">
        <x:v>原始来源税态未统一披露；模型按含税到厂预算口径归一化，正式询价复核</x:v>
      </x:c>
      <x:c r="N15" s="29"/>
      <x:c r="O15" s="29"/>
      <x:c r="P15" s="57" t="n">
        <x:v>450</x:v>
      </x:c>
      <x:c r="Q15" s="57" t="n">
        <x:v>432.2767</x:v>
      </x:c>
      <x:c r="R15" s="57" t="n">
        <x:v>444.7291</x:v>
      </x:c>
      <x:c r="S15" s="57" t="n">
        <x:v>300</x:v>
      </x:c>
      <x:c r="T15" s="57" t="n">
        <x:v>700</x:v>
      </x:c>
      <x:c r="U15" s="52" t="n">
        <x:f>ROUND(J15*P15,2)</x:f>
        <x:v>466234.24</x:v>
      </x:c>
      <x:c r="V15" s="52" t="n">
        <x:f>ROUND(J15*S15,2)</x:f>
        <x:v>310822.83</x:v>
      </x:c>
      <x:c r="W15" s="52" t="n">
        <x:f>ROUND(J15*T15,2)</x:f>
        <x:v>725253.26</x:v>
      </x:c>
      <x:c r="X15" s="53" t="n">
        <x:v>5</x:v>
      </x:c>
      <x:c r="Y15" s="59" t="str">
        <x:v>SRC-008, SRC-030, SRC-009, SRC-010, SRC-011</x:v>
      </x:c>
      <x:c r="Z15" s="59" t="str">
        <x:v>公开价格锚点；正式采购仍需同规格、同税费和服务范围询价</x:v>
      </x:c>
      <x:c r="AA15" s="59" t="str">
        <x:v>生化小分子/dNTP</x:v>
      </x:c>
      <x:c r="AB15" s="59" t="str">
        <x:v>配方反推：680 μL×267 μM/10 mM=18.156 μL/盒；数量为理论生产用量，选中数量再应用成品良率和物料损耗</x:v>
      </x:c>
    </x:row>
    <x:row r="16">
      <x:c r="A16" t="str">
        <x:v>BOM-011</x:v>
      </x:c>
      <x:c r="B16" t="str">
        <x:v>缓冲盐与稳定剂</x:v>
      </x:c>
      <x:c r="C16" t="str">
        <x:v>Tris</x:v>
      </x:c>
      <x:c r="D16" t="str">
        <x:v>Tris-base高纯级</x:v>
      </x:c>
      <x:c r="E16" s="12" t="str">
        <x:v>Tris-base；PCR/PANDA/CD三种混合液分别为26.7/40/60 mM，按Tris-base等效质量计</x:v>
      </x:c>
      <x:c r="F16" t="str">
        <x:v>kg</x:v>
      </x:c>
      <x:c r="G16" s="49" t="n">
        <x:v>0.082564</x:v>
      </x:c>
      <x:c r="H16" s="49" t="n">
        <x:v>0.412821</x:v>
      </x:c>
      <x:c r="I16" s="49" t="n">
        <x:v>1.651284</x:v>
      </x:c>
      <x:c r="J16" s="50" t="n">
        <x:f>IF('02_假设与情景'!$B$5="S1",G16,IF('02_假设与情景'!$B$5="S2",H16,I16))/'02_假设与情景'!$B$8*(1+'02_假设与情景'!$B$9)</x:f>
        <x:v>0.471154402173913</x:v>
      </x:c>
      <x:c r="K16" s="56" t="n">
        <x:v>250</x:v>
      </x:c>
      <x:c r="L16" s="29" t="str">
        <x:v>CNY</x:v>
      </x:c>
      <x:c r="M16" s="29" t="str">
        <x:v>原始来源税态未统一披露；模型按含税到厂预算口径归一化，正式询价复核</x:v>
      </x:c>
      <x:c r="N16" s="29"/>
      <x:c r="O16" s="29"/>
      <x:c r="P16" s="57" t="n">
        <x:v>250</x:v>
      </x:c>
      <x:c r="Q16" s="57" t="n">
        <x:v>240.1537</x:v>
      </x:c>
      <x:c r="R16" s="57" t="n">
        <x:v>247.0717</x:v>
      </x:c>
      <x:c r="S16" s="57" t="n">
        <x:v>80</x:v>
      </x:c>
      <x:c r="T16" s="57" t="n">
        <x:v>800</x:v>
      </x:c>
      <x:c r="U16" s="52" t="n">
        <x:f>ROUND(J16*P16,2)</x:f>
        <x:v>117.79</x:v>
      </x:c>
      <x:c r="V16" s="52" t="n">
        <x:f>ROUND(J16*S16,2)</x:f>
        <x:v>37.69</x:v>
      </x:c>
      <x:c r="W16" s="52" t="n">
        <x:f>ROUND(J16*T16,2)</x:f>
        <x:v>376.92</x:v>
      </x:c>
      <x:c r="X16" s="53" t="n">
        <x:v>5</x:v>
      </x:c>
      <x:c r="Y16" s="59" t="str">
        <x:v>SRC-029, SRC-009, SRC-010, SRC-011</x:v>
      </x:c>
      <x:c r="Z16" s="59" t="str">
        <x:v>公开价格锚点；正式采购仍需同规格、同税费和服务范围询价</x:v>
      </x:c>
      <x:c r="AA16" s="59" t="str">
        <x:v>Tris-base缓冲盐</x:v>
      </x:c>
      <x:c r="AB16" s="59" t="str">
        <x:v>配方反推：每盒Tris-base等效约8.256 mg；pH调节用酸和纯化水需在工艺批记录中另行核算</x:v>
      </x:c>
    </x:row>
    <x:row r="17">
      <x:c r="A17" t="str">
        <x:v>BOM-012</x:v>
      </x:c>
      <x:c r="B17" t="str">
        <x:v>缓冲盐与稳定剂</x:v>
      </x:c>
      <x:c r="C17" t="str">
        <x:v>MgCl2</x:v>
      </x:c>
      <x:c r="D17" t="str">
        <x:v>氯化镁高纯级</x:v>
      </x:c>
      <x:c r="E17" s="12" t="str">
        <x:v>MgCl2·6H2O；PCR/PANDA/CD浓度2/23.5/12.5 mM，按六水合物等效质量计</x:v>
      </x:c>
      <x:c r="F17" t="str">
        <x:v>kg</x:v>
      </x:c>
      <x:c r="G17" s="49" t="n">
        <x:v>0.039359</x:v>
      </x:c>
      <x:c r="H17" s="49" t="n">
        <x:v>0.196797</x:v>
      </x:c>
      <x:c r="I17" s="49" t="n">
        <x:v>0.787189</x:v>
      </x:c>
      <x:c r="J17" s="50" t="n">
        <x:f>IF('02_假设与情景'!$B$5="S1",G17,IF('02_假设与情景'!$B$5="S2",H17,I17))/'02_假设与情景'!$B$8*(1+'02_假设与情景'!$B$9)</x:f>
        <x:v>0.22460527173913045</x:v>
      </x:c>
      <x:c r="K17" s="56" t="n">
        <x:v>180</x:v>
      </x:c>
      <x:c r="L17" s="29" t="str">
        <x:v>CNY</x:v>
      </x:c>
      <x:c r="M17" s="29" t="str">
        <x:v>原始来源税态未统一披露；模型按含税到厂预算口径归一化，正式询价复核</x:v>
      </x:c>
      <x:c r="N17" s="29"/>
      <x:c r="O17" s="29"/>
      <x:c r="P17" s="57" t="n">
        <x:v>180</x:v>
      </x:c>
      <x:c r="Q17" s="57" t="n">
        <x:v>172.9107</x:v>
      </x:c>
      <x:c r="R17" s="57" t="n">
        <x:v>177.8917</x:v>
      </x:c>
      <x:c r="S17" s="57" t="n">
        <x:v>50</x:v>
      </x:c>
      <x:c r="T17" s="57" t="n">
        <x:v>600</x:v>
      </x:c>
      <x:c r="U17" s="52" t="n">
        <x:f>ROUND(J17*P17,2)</x:f>
        <x:v>40.43</x:v>
      </x:c>
      <x:c r="V17" s="52" t="n">
        <x:f>ROUND(J17*S17,2)</x:f>
        <x:v>11.23</x:v>
      </x:c>
      <x:c r="W17" s="52" t="n">
        <x:f>ROUND(J17*T17,2)</x:f>
        <x:v>134.76</x:v>
      </x:c>
      <x:c r="X17" s="53" t="n">
        <x:v>4</x:v>
      </x:c>
      <x:c r="Y17" s="59" t="str">
        <x:v>SRC-029, SRC-009, SRC-010, SRC-011</x:v>
      </x:c>
      <x:c r="Z17" s="59" t="str">
        <x:v>公开价格锚点；正式采购仍需同规格、同税费和服务范围询价</x:v>
      </x:c>
      <x:c r="AA17" s="59" t="str">
        <x:v>MgCl2缓冲盐</x:v>
      </x:c>
      <x:c r="AB17" s="59" t="str">
        <x:v>配方反推：每盒MgCl2·6H2O等效约3.936 mg；实际采购形态和含量需RFQ/COA确认</x:v>
      </x:c>
    </x:row>
    <x:row r="18">
      <x:c r="A18" t="str">
        <x:v>BOM-013</x:v>
      </x:c>
      <x:c r="B18" t="str">
        <x:v>缓冲盐与稳定剂</x:v>
      </x:c>
      <x:c r="C18" t="str">
        <x:v>KCl</x:v>
      </x:c>
      <x:c r="D18" t="str">
        <x:v>KCl高纯级</x:v>
      </x:c>
      <x:c r="E18" s="12" t="str">
        <x:v>PANDA Mix 100 mM KCl；按KCl等效质量计</x:v>
      </x:c>
      <x:c r="F18" t="str">
        <x:v>kg</x:v>
      </x:c>
      <x:c r="G18" s="49" t="n">
        <x:v>0.037276</x:v>
      </x:c>
      <x:c r="H18" s="49" t="n">
        <x:v>0.186378</x:v>
      </x:c>
      <x:c r="I18" s="49" t="n">
        <x:v>0.745513</x:v>
      </x:c>
      <x:c r="J18" s="50" t="n">
        <x:f>IF('02_假设与情景'!$B$5="S1",G18,IF('02_假设与情景'!$B$5="S2",H18,I18))/'02_假设与情景'!$B$8*(1+'02_假设与情景'!$B$9)</x:f>
        <x:v>0.21271402173913043</x:v>
      </x:c>
      <x:c r="K18" s="56" t="n">
        <x:v>220</x:v>
      </x:c>
      <x:c r="L18" s="29" t="str">
        <x:v>CNY</x:v>
      </x:c>
      <x:c r="M18" s="29" t="str">
        <x:v>原始来源税态未统一披露；模型按含税到厂预算口径归一化，正式询价复核</x:v>
      </x:c>
      <x:c r="N18" s="29"/>
      <x:c r="O18" s="29"/>
      <x:c r="P18" s="57" t="n">
        <x:v>220</x:v>
      </x:c>
      <x:c r="Q18" s="57" t="n">
        <x:v>220</x:v>
      </x:c>
      <x:c r="R18" s="57" t="n">
        <x:v>215</x:v>
      </x:c>
      <x:c r="S18" s="57" t="n">
        <x:v>80</x:v>
      </x:c>
      <x:c r="T18" s="57" t="n">
        <x:v>600</x:v>
      </x:c>
      <x:c r="U18" s="52" t="n">
        <x:f>ROUND(J18*P18,2)</x:f>
        <x:v>46.8</x:v>
      </x:c>
      <x:c r="V18" s="52" t="n">
        <x:f>ROUND(J18*S18,2)</x:f>
        <x:v>17.02</x:v>
      </x:c>
      <x:c r="W18" s="52" t="n">
        <x:f>ROUND(J18*T18,2)</x:f>
        <x:v>127.63</x:v>
      </x:c>
      <x:c r="X18" s="53" t="n">
        <x:v>4</x:v>
      </x:c>
      <x:c r="Y18" s="59" t="str">
        <x:v>SRC-029, SRC-031, SRC-009, SRC-010, SRC-011</x:v>
      </x:c>
      <x:c r="Z18" s="59" t="str">
        <x:v>公开规格锚点；正式采购需确认分子生物学级、COA、税运和MOQ</x:v>
      </x:c>
      <x:c r="AA18" s="59" t="str">
        <x:v>核心流程/PANDA Mix 100 mM KCl</x:v>
      </x:c>
      <x:c r="AB18" s="59" t="str">
        <x:v>配方反推：500 μL×100 mM=50 μmol KCl/盒；理论数量不含MOQ取整</x:v>
      </x:c>
    </x:row>
    <x:row r="19">
      <x:c r="A19" t="str">
        <x:v>BOM-014</x:v>
      </x:c>
      <x:c r="B19" t="str">
        <x:v>缓冲盐与稳定剂</x:v>
      </x:c>
      <x:c r="C19" t="str">
        <x:v>实验用水</x:v>
      </x:c>
      <x:c r="D19" t="str">
        <x:v>无核酸酶水</x:v>
      </x:c>
      <x:c r="E19" s="12" t="str">
        <x:v>无核酸酶水；七管总配液体积2.00 mL/盒（680+500+500+80×4 μL，均含死体积）</x:v>
      </x:c>
      <x:c r="F19" t="str">
        <x:v>L</x:v>
      </x:c>
      <x:c r="G19" s="49" t="n">
        <x:v>20</x:v>
      </x:c>
      <x:c r="H19" s="49" t="n">
        <x:v>100</x:v>
      </x:c>
      <x:c r="I19" s="49" t="n">
        <x:v>400</x:v>
      </x:c>
      <x:c r="J19" s="50" t="n">
        <x:f>IF('02_假设与情景'!$B$5="S1",G19,IF('02_假设与情景'!$B$5="S2",H19,I19))/'02_假设与情景'!$B$8*(1+'02_假设与情景'!$B$9)</x:f>
        <x:v>114.13043478260869</x:v>
      </x:c>
      <x:c r="K19" s="56" t="n">
        <x:v>25</x:v>
      </x:c>
      <x:c r="L19" s="29" t="str">
        <x:v>CNY</x:v>
      </x:c>
      <x:c r="M19" s="29" t="str">
        <x:v>原始来源税态未统一披露；模型按含税到厂预算口径归一化，正式询价复核</x:v>
      </x:c>
      <x:c r="N19" s="29"/>
      <x:c r="O19" s="29"/>
      <x:c r="P19" s="57" t="n">
        <x:v>25</x:v>
      </x:c>
      <x:c r="Q19" s="57" t="n">
        <x:v>24.0154</x:v>
      </x:c>
      <x:c r="R19" s="57" t="n">
        <x:v>24.7072</x:v>
      </x:c>
      <x:c r="S19" s="57" t="n">
        <x:v>10</x:v>
      </x:c>
      <x:c r="T19" s="57" t="n">
        <x:v>80</x:v>
      </x:c>
      <x:c r="U19" s="52" t="n">
        <x:f>ROUND(J19*P19,2)</x:f>
        <x:v>2853.26</x:v>
      </x:c>
      <x:c r="V19" s="52" t="n">
        <x:f>ROUND(J19*S19,2)</x:f>
        <x:v>1141.3</x:v>
      </x:c>
      <x:c r="W19" s="52" t="n">
        <x:f>ROUND(J19*T19,2)</x:f>
        <x:v>9130.43</x:v>
      </x:c>
      <x:c r="X19" s="53" t="n">
        <x:v>4</x:v>
      </x:c>
      <x:c r="Y19" s="59" t="str">
        <x:v>SRC-029, SRC-009, SRC-010, SRC-011</x:v>
      </x:c>
      <x:c r="Z19" s="59" t="str">
        <x:v>公开价格锚点；正式采购仍需同规格、同税费和服务范围询价</x:v>
      </x:c>
      <x:c r="AA19" s="59" t="str">
        <x:v>缓冲液配制/过滤除菌</x:v>
      </x:c>
      <x:c r="AB19" s="59" t="str">
        <x:v>核心流程逐管体积已闭合：PCR 680 μL、PANDA 500 μL、CD 500 μL、四管对照/NTC各80 μL；纯化水系统损耗、清洗和环境监测另列，不在此行重复</x:v>
      </x:c>
    </x:row>
    <x:row r="20">
      <x:c r="A20" t="str">
        <x:v>BOM-015</x:v>
      </x:c>
      <x:c r="B20" t="str">
        <x:v>过程耗材</x:v>
      </x:c>
      <x:c r="C20" t="str">
        <x:v>过滤</x:v>
      </x:c>
      <x:c r="D20" t="str">
        <x:v>0.22um低吸附无菌过滤器</x:v>
      </x:c>
      <x:c r="E20" s="12" t="str">
        <x:v>兼容蛋白和寡核苷酸溶液</x:v>
      </x:c>
      <x:c r="F20" t="str">
        <x:v>个</x:v>
      </x:c>
      <x:c r="G20" s="49" t="n">
        <x:v>200</x:v>
      </x:c>
      <x:c r="H20" s="49" t="n">
        <x:v>500</x:v>
      </x:c>
      <x:c r="I20" s="49" t="n">
        <x:v>1200</x:v>
      </x:c>
      <x:c r="J20" s="50" t="n">
        <x:f>IF('02_假设与情景'!$B$5="S1",G20,IF('02_假设与情景'!$B$5="S2",H20,I20))</x:f>
        <x:v>500</x:v>
      </x:c>
      <x:c r="K20" s="56" t="n">
        <x:v>90</x:v>
      </x:c>
      <x:c r="L20" s="29" t="str">
        <x:v>CNY</x:v>
      </x:c>
      <x:c r="M20" s="29" t="str">
        <x:v>原始来源税态未统一披露；模型按含税到厂预算口径归一化，正式询价复核</x:v>
      </x:c>
      <x:c r="N20" s="29"/>
      <x:c r="O20" s="29"/>
      <x:c r="P20" s="57" t="n">
        <x:v>90</x:v>
      </x:c>
      <x:c r="Q20" s="57" t="n">
        <x:v>86.4553</x:v>
      </x:c>
      <x:c r="R20" s="57" t="n">
        <x:v>88.9458</x:v>
      </x:c>
      <x:c r="S20" s="57" t="n">
        <x:v>50</x:v>
      </x:c>
      <x:c r="T20" s="57" t="n">
        <x:v>180</x:v>
      </x:c>
      <x:c r="U20" s="52" t="n">
        <x:f>ROUND(J20*P20,2)</x:f>
        <x:v>45000</x:v>
      </x:c>
      <x:c r="V20" s="52" t="n">
        <x:f>ROUND(J20*S20,2)</x:f>
        <x:v>25000</x:v>
      </x:c>
      <x:c r="W20" s="52" t="n">
        <x:f>ROUND(J20*T20,2)</x:f>
        <x:v>90000</x:v>
      </x:c>
      <x:c r="X20" s="53" t="n">
        <x:v>4</x:v>
      </x:c>
      <x:c r="Y20" s="59" t="str">
        <x:v>SRC-028, SRC-009, SRC-010, SRC-011</x:v>
      </x:c>
      <x:c r="Z20" s="59" t="str">
        <x:v>公开价格锚点；正式采购仍需同规格、同税费和服务范围询价</x:v>
      </x:c>
      <x:c r="AA20" s="59" t="str">
        <x:v>配液0.22um过滤</x:v>
      </x:c>
      <x:c r="AB2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21">
      <x:c r="A21" t="str">
        <x:v>BOM-016</x:v>
      </x:c>
      <x:c r="B21" t="str">
        <x:v>包材</x:v>
      </x:c>
      <x:c r="C21" t="str">
        <x:v>PCR管</x:v>
      </x:c>
      <x:c r="D21" t="str">
        <x:v>PCR Mix与PANDA Mix棕色低吸附冻存管</x:v>
      </x:c>
      <x:c r="E21" s="12" t="str">
        <x:v>每盒2支：PCR Mix 1支 + PANDA Mix 1支；避光、低吸附、可旋盖</x:v>
      </x:c>
      <x:c r="F21" t="str">
        <x:v>支</x:v>
      </x:c>
      <x:c r="G21" s="49" t="n">
        <x:v>20000</x:v>
      </x:c>
      <x:c r="H21" s="49" t="n">
        <x:v>100000</x:v>
      </x:c>
      <x:c r="I21" s="49" t="n">
        <x:v>400000</x:v>
      </x:c>
      <x:c r="J21" s="50" t="n">
        <x:f>IF('02_假设与情景'!$B$5="S1",G21,IF('02_假设与情景'!$B$5="S2",H21,I21))/'02_假设与情景'!$B$8*(1+'02_假设与情景'!$B$9)</x:f>
        <x:v>114130.4347826087</x:v>
      </x:c>
      <x:c r="K21" s="56" t="n">
        <x:v>1.5</x:v>
      </x:c>
      <x:c r="L21" s="29" t="str">
        <x:v>CNY</x:v>
      </x:c>
      <x:c r="M21" s="29" t="str">
        <x:v>原始来源税态未统一披露；模型按含税到厂预算口径归一化，正式询价复核</x:v>
      </x:c>
      <x:c r="N21" s="29"/>
      <x:c r="O21" s="29"/>
      <x:c r="P21" s="57" t="n">
        <x:v>1.5</x:v>
      </x:c>
      <x:c r="Q21" s="57" t="n">
        <x:v>1.4409</x:v>
      </x:c>
      <x:c r="R21" s="57" t="n">
        <x:v>1.4824</x:v>
      </x:c>
      <x:c r="S21" s="57" t="n">
        <x:v>0.8</x:v>
      </x:c>
      <x:c r="T21" s="57" t="n">
        <x:v>3</x:v>
      </x:c>
      <x:c r="U21" s="52" t="n">
        <x:f>ROUND(J21*P21,2)</x:f>
        <x:v>171195.65</x:v>
      </x:c>
      <x:c r="V21" s="52" t="n">
        <x:f>ROUND(J21*S21,2)</x:f>
        <x:v>91304.35</x:v>
      </x:c>
      <x:c r="W21" s="52" t="n">
        <x:f>ROUND(J21*T21,2)</x:f>
        <x:v>342391.3</x:v>
      </x:c>
      <x:c r="X21" s="53" t="n">
        <x:v>4</x:v>
      </x:c>
      <x:c r="Y21" s="59" t="str">
        <x:v>SRC-028, SRC-009, SRC-010, SRC-011</x:v>
      </x:c>
      <x:c r="Z21" s="59" t="str">
        <x:v>公开价格锚点；正式采购仍需同规格、同税费和服务范围询价</x:v>
      </x:c>
      <x:c r="AA21" s="59" t="str">
        <x:v>PCR Mix分装/棕色避光管</x:v>
      </x:c>
      <x:c r="AB21" s="59" t="str">
        <x:v>七管配置中的两支扩增/PANDA混合液管；数量按成品盒数，不在基础数量中预埋5%损耗</x:v>
      </x:c>
    </x:row>
    <x:row r="22">
      <x:c r="A22" t="str">
        <x:v>BOM-017</x:v>
      </x:c>
      <x:c r="B22" t="str">
        <x:v>包材</x:v>
      </x:c>
      <x:c r="C22" t="str">
        <x:v>CD管</x:v>
      </x:c>
      <x:c r="D22" t="str">
        <x:v>CD Mix棕色低吸附冻存管</x:v>
      </x:c>
      <x:c r="E22" s="12" t="str">
        <x:v>每盒1支；避光、低吸附、可旋盖</x:v>
      </x:c>
      <x:c r="F22" t="str">
        <x:v>支</x:v>
      </x:c>
      <x:c r="G22" s="49" t="n">
        <x:v>10000</x:v>
      </x:c>
      <x:c r="H22" s="49" t="n">
        <x:v>50000</x:v>
      </x:c>
      <x:c r="I22" s="49" t="n">
        <x:v>200000</x:v>
      </x:c>
      <x:c r="J22" s="50" t="n">
        <x:f>IF('02_假设与情景'!$B$5="S1",G22,IF('02_假设与情景'!$B$5="S2",H22,I22))/'02_假设与情景'!$B$8*(1+'02_假设与情景'!$B$9)</x:f>
        <x:v>57065.21739130435</x:v>
      </x:c>
      <x:c r="K22" s="56" t="n">
        <x:v>1.5</x:v>
      </x:c>
      <x:c r="L22" s="29" t="str">
        <x:v>CNY</x:v>
      </x:c>
      <x:c r="M22" s="29" t="str">
        <x:v>原始来源税态未统一披露；模型按含税到厂预算口径归一化，正式询价复核</x:v>
      </x:c>
      <x:c r="N22" s="29"/>
      <x:c r="O22" s="29"/>
      <x:c r="P22" s="57" t="n">
        <x:v>1.5</x:v>
      </x:c>
      <x:c r="Q22" s="57" t="n">
        <x:v>1.4409</x:v>
      </x:c>
      <x:c r="R22" s="57" t="n">
        <x:v>1.4824</x:v>
      </x:c>
      <x:c r="S22" s="57" t="n">
        <x:v>0.8</x:v>
      </x:c>
      <x:c r="T22" s="57" t="n">
        <x:v>3</x:v>
      </x:c>
      <x:c r="U22" s="52" t="n">
        <x:f>ROUND(J22*P22,2)</x:f>
        <x:v>85597.83</x:v>
      </x:c>
      <x:c r="V22" s="52" t="n">
        <x:f>ROUND(J22*S22,2)</x:f>
        <x:v>45652.17</x:v>
      </x:c>
      <x:c r="W22" s="52" t="n">
        <x:f>ROUND(J22*T22,2)</x:f>
        <x:v>171195.65</x:v>
      </x:c>
      <x:c r="X22" s="53" t="n">
        <x:v>4</x:v>
      </x:c>
      <x:c r="Y22" s="59" t="str">
        <x:v>SRC-028, SRC-009, SRC-010, SRC-011</x:v>
      </x:c>
      <x:c r="Z22" s="59" t="str">
        <x:v>公开价格锚点；正式采购仍需同规格、同税费和服务范围询价</x:v>
      </x:c>
      <x:c r="AA22" s="59" t="str">
        <x:v>CD预混液分装/棕色避光管</x:v>
      </x:c>
      <x:c r="AB22" s="59" t="str">
        <x:v>七管配置中的CD Mix管；数量按成品盒数，不在基础数量中预埋5%损耗</x:v>
      </x:c>
    </x:row>
    <x:row r="23">
      <x:c r="A23" t="str">
        <x:v>BOM-018</x:v>
      </x:c>
      <x:c r="B23" t="str">
        <x:v>包材</x:v>
      </x:c>
      <x:c r="C23" t="str">
        <x:v>对照品管</x:v>
      </x:c>
      <x:c r="D23" t="str">
        <x:v>三种DNA对照品及NTC低吸附冻存管</x:v>
      </x:c>
      <x:c r="E23" s="12" t="str">
        <x:v>每盒4支：WT、100%阳性、0.1%弱阳性和NTC无酶水</x:v>
      </x:c>
      <x:c r="F23" t="str">
        <x:v>支</x:v>
      </x:c>
      <x:c r="G23" s="49" t="n">
        <x:v>40000</x:v>
      </x:c>
      <x:c r="H23" s="49" t="n">
        <x:v>200000</x:v>
      </x:c>
      <x:c r="I23" s="49" t="n">
        <x:v>800000</x:v>
      </x:c>
      <x:c r="J23" s="50" t="n">
        <x:f>IF('02_假设与情景'!$B$5="S1",G23,IF('02_假设与情景'!$B$5="S2",H23,I23))/'02_假设与情景'!$B$8*(1+'02_假设与情景'!$B$9)</x:f>
        <x:v>228260.8695652174</x:v>
      </x:c>
      <x:c r="K23" s="56" t="n">
        <x:v>1.2</x:v>
      </x:c>
      <x:c r="L23" s="29" t="str">
        <x:v>CNY</x:v>
      </x:c>
      <x:c r="M23" s="29" t="str">
        <x:v>原始来源税态未统一披露；模型按含税到厂预算口径归一化，正式询价复核</x:v>
      </x:c>
      <x:c r="N23" s="29"/>
      <x:c r="O23" s="29"/>
      <x:c r="P23" s="57" t="n">
        <x:v>1.2</x:v>
      </x:c>
      <x:c r="Q23" s="57" t="n">
        <x:v>1.1527</x:v>
      </x:c>
      <x:c r="R23" s="57" t="n">
        <x:v>1.1859</x:v>
      </x:c>
      <x:c r="S23" s="57" t="n">
        <x:v>0.6</x:v>
      </x:c>
      <x:c r="T23" s="57" t="n">
        <x:v>2.5</x:v>
      </x:c>
      <x:c r="U23" s="52" t="n">
        <x:f>ROUND(J23*P23,2)</x:f>
        <x:v>273913.04</x:v>
      </x:c>
      <x:c r="V23" s="52" t="n">
        <x:f>ROUND(J23*S23,2)</x:f>
        <x:v>136956.52</x:v>
      </x:c>
      <x:c r="W23" s="52" t="n">
        <x:f>ROUND(J23*T23,2)</x:f>
        <x:v>570652.17</x:v>
      </x:c>
      <x:c r="X23" s="53" t="n">
        <x:v>4</x:v>
      </x:c>
      <x:c r="Y23" s="59" t="str">
        <x:v>SRC-028, SRC-009, SRC-010, SRC-011</x:v>
      </x:c>
      <x:c r="Z23" s="59" t="str">
        <x:v>公开价格锚点；正式采购仍需同规格、同税费和服务范围询价</x:v>
      </x:c>
      <x:c r="AA23" s="59" t="str">
        <x:v>三种DNA对照品微量分装</x:v>
      </x:c>
      <x:c r="AB23" s="59" t="str">
        <x:v>核心流程明确七管；旧三支对照管漏计NTC，现按四支对照/NTC管修正</x:v>
      </x:c>
    </x:row>
    <x:row r="24">
      <x:c r="A24" t="str">
        <x:v>BOM-019</x:v>
      </x:c>
      <x:c r="B24" t="str">
        <x:v>包材</x:v>
      </x:c>
      <x:c r="C24" t="str">
        <x:v>旋盖</x:v>
      </x:c>
      <x:c r="D24" t="str">
        <x:v>冻存管匹配旋盖</x:v>
      </x:c>
      <x:c r="E24" s="12" t="str">
        <x:v>每盒7个匹配旋盖；PCR、PANDA、CD、WT、100%阳性、0.1%弱阳性、NTC各1个</x:v>
      </x:c>
      <x:c r="F24" t="str">
        <x:v>个</x:v>
      </x:c>
      <x:c r="G24" s="49" t="n">
        <x:v>70000</x:v>
      </x:c>
      <x:c r="H24" s="49" t="n">
        <x:v>350000</x:v>
      </x:c>
      <x:c r="I24" s="49" t="n">
        <x:v>1400000</x:v>
      </x:c>
      <x:c r="J24" s="50" t="n">
        <x:f>IF('02_假设与情景'!$B$5="S1",G24,IF('02_假设与情景'!$B$5="S2",H24,I24))/'02_假设与情景'!$B$8*(1+'02_假设与情景'!$B$9)</x:f>
        <x:v>399456.52173913043</x:v>
      </x:c>
      <x:c r="K24" s="56" t="n">
        <x:v>0.3</x:v>
      </x:c>
      <x:c r="L24" s="29" t="str">
        <x:v>CNY</x:v>
      </x:c>
      <x:c r="M24" s="29" t="str">
        <x:v>原始来源税态未统一披露；模型按含税到厂预算口径归一化，正式询价复核</x:v>
      </x:c>
      <x:c r="N24" s="29"/>
      <x:c r="O24" s="29"/>
      <x:c r="P24" s="57" t="n">
        <x:v>0.3</x:v>
      </x:c>
      <x:c r="Q24" s="57" t="n">
        <x:v>0.2882</x:v>
      </x:c>
      <x:c r="R24" s="57" t="n">
        <x:v>0.2965</x:v>
      </x:c>
      <x:c r="S24" s="57" t="n">
        <x:v>0.12</x:v>
      </x:c>
      <x:c r="T24" s="57" t="n">
        <x:v>0.8</x:v>
      </x:c>
      <x:c r="U24" s="52" t="n">
        <x:f>ROUND(J24*P24,2)</x:f>
        <x:v>119836.96</x:v>
      </x:c>
      <x:c r="V24" s="52" t="n">
        <x:f>ROUND(J24*S24,2)</x:f>
        <x:v>47934.78</x:v>
      </x:c>
      <x:c r="W24" s="52" t="n">
        <x:f>ROUND(J24*T24,2)</x:f>
        <x:v>319565.22</x:v>
      </x:c>
      <x:c r="X24" s="53" t="n">
        <x:v>4</x:v>
      </x:c>
      <x:c r="Y24" s="59" t="str">
        <x:v>SRC-028, SRC-009, SRC-010, SRC-011</x:v>
      </x:c>
      <x:c r="Z24" s="59" t="str">
        <x:v>公开价格锚点；正式采购仍需同规格、同税费和服务范围询价</x:v>
      </x:c>
      <x:c r="AA24" s="59" t="str">
        <x:v>分装旋盖/瓶盖松动检测</x:v>
      </x:c>
      <x:c r="AB24" s="59" t="str">
        <x:v>七管均需独立密封；数量按成品盒数，不在基础数量中预埋5%损耗</x:v>
      </x:c>
    </x:row>
    <x:row r="25">
      <x:c r="A25" t="str">
        <x:v>BOM-020</x:v>
      </x:c>
      <x:c r="B25" t="str">
        <x:v>包材</x:v>
      </x:c>
      <x:c r="C25" t="str">
        <x:v>盒体</x:v>
      </x:c>
      <x:c r="D25" t="str">
        <x:v>试剂盒外盒及内托</x:v>
      </x:c>
      <x:c r="E25" s="12" t="str">
        <x:v>容纳七支试剂管和受控说明书的外盒及内托</x:v>
      </x:c>
      <x:c r="F25" t="str">
        <x:v>套</x:v>
      </x:c>
      <x:c r="G25" s="49" t="n">
        <x:v>10000</x:v>
      </x:c>
      <x:c r="H25" s="49" t="n">
        <x:v>50000</x:v>
      </x:c>
      <x:c r="I25" s="49" t="n">
        <x:v>200000</x:v>
      </x:c>
      <x:c r="J25" s="50" t="n">
        <x:f>IF('02_假设与情景'!$B$5="S1",G25,IF('02_假设与情景'!$B$5="S2",H25,I25))/'02_假设与情景'!$B$8*(1+'02_假设与情景'!$B$9)</x:f>
        <x:v>57065.21739130435</x:v>
      </x:c>
      <x:c r="K25" s="56" t="n">
        <x:v>2</x:v>
      </x:c>
      <x:c r="L25" s="29" t="str">
        <x:v>CNY</x:v>
      </x:c>
      <x:c r="M25" s="29" t="str">
        <x:v>原始来源税态未统一披露；模型按含税到厂预算口径归一化，正式询价复核</x:v>
      </x:c>
      <x:c r="N25" s="29"/>
      <x:c r="O25" s="29"/>
      <x:c r="P25" s="57" t="n">
        <x:v>2</x:v>
      </x:c>
      <x:c r="Q25" s="57" t="n">
        <x:v>1.9212</x:v>
      </x:c>
      <x:c r="R25" s="57" t="n">
        <x:v>1.9765</x:v>
      </x:c>
      <x:c r="S25" s="57" t="n">
        <x:v>1</x:v>
      </x:c>
      <x:c r="T25" s="57" t="n">
        <x:v>5</x:v>
      </x:c>
      <x:c r="U25" s="52" t="n">
        <x:f>ROUND(J25*P25,2)</x:f>
        <x:v>114130.43</x:v>
      </x:c>
      <x:c r="V25" s="52" t="n">
        <x:f>ROUND(J25*S25,2)</x:f>
        <x:v>57065.22</x:v>
      </x:c>
      <x:c r="W25" s="52" t="n">
        <x:f>ROUND(J25*T25,2)</x:f>
        <x:v>285326.09</x:v>
      </x:c>
      <x:c r="X25" s="53" t="n">
        <x:v>4</x:v>
      </x:c>
      <x:c r="Y25" s="59" t="str">
        <x:v>SRC-028, SRC-009, SRC-010, SRC-011</x:v>
      </x:c>
      <x:c r="Z25" s="59" t="str">
        <x:v>公开价格锚点；正式采购仍需同规格、同税费和服务范围询价</x:v>
      </x:c>
      <x:c r="AA25" s="59" t="str">
        <x:v>自动分料/说明书入盒</x:v>
      </x:c>
      <x:c r="AB25" s="59" t="str">
        <x:v>数量按成品盒数；全局成品良率和物料损耗在选中数量公式中统一处理</x:v>
      </x:c>
    </x:row>
    <x:row r="26">
      <x:c r="A26" t="str">
        <x:v>BOM-021</x:v>
      </x:c>
      <x:c r="B26" t="str">
        <x:v>包材</x:v>
      </x:c>
      <x:c r="C26" t="str">
        <x:v>说明书</x:v>
      </x:c>
      <x:c r="D26" t="str">
        <x:v>产品说明书印刷</x:v>
      </x:c>
      <x:c r="E26" s="12" t="str">
        <x:v>受控版本、批次投放</x:v>
      </x:c>
      <x:c r="F26" t="str">
        <x:v>份</x:v>
      </x:c>
      <x:c r="G26" s="49" t="n">
        <x:v>10000</x:v>
      </x:c>
      <x:c r="H26" s="49" t="n">
        <x:v>50000</x:v>
      </x:c>
      <x:c r="I26" s="49" t="n">
        <x:v>200000</x:v>
      </x:c>
      <x:c r="J26" s="50" t="n">
        <x:f>IF('02_假设与情景'!$B$5="S1",G26,IF('02_假设与情景'!$B$5="S2",H26,I26))/'02_假设与情景'!$B$8*(1+'02_假设与情景'!$B$9)</x:f>
        <x:v>57065.21739130435</x:v>
      </x:c>
      <x:c r="K26" s="56" t="n">
        <x:v>0.25</x:v>
      </x:c>
      <x:c r="L26" s="29" t="str">
        <x:v>CNY</x:v>
      </x:c>
      <x:c r="M26" s="29" t="str">
        <x:v>原始来源税态未统一披露；模型按含税到厂预算口径归一化，正式询价复核</x:v>
      </x:c>
      <x:c r="N26" s="29"/>
      <x:c r="O26" s="29"/>
      <x:c r="P26" s="57" t="n">
        <x:v>0.25</x:v>
      </x:c>
      <x:c r="Q26" s="57" t="n">
        <x:v>0.2402</x:v>
      </x:c>
      <x:c r="R26" s="57" t="n">
        <x:v>0.2471</x:v>
      </x:c>
      <x:c r="S26" s="57" t="n">
        <x:v>0.1</x:v>
      </x:c>
      <x:c r="T26" s="57" t="n">
        <x:v>0.8</x:v>
      </x:c>
      <x:c r="U26" s="52" t="n">
        <x:f>ROUND(J26*P26,2)</x:f>
        <x:v>14266.3</x:v>
      </x:c>
      <x:c r="V26" s="52" t="n">
        <x:f>ROUND(J26*S26,2)</x:f>
        <x:v>5706.52</x:v>
      </x:c>
      <x:c r="W26" s="52" t="n">
        <x:f>ROUND(J26*T26,2)</x:f>
        <x:v>45652.17</x:v>
      </x:c>
      <x:c r="X26" s="53" t="n">
        <x:v>4</x:v>
      </x:c>
      <x:c r="Y26" s="59" t="str">
        <x:v>SRC-028, SRC-009, SRC-010, SRC-011</x:v>
      </x:c>
      <x:c r="Z26" s="59" t="str">
        <x:v>公开价格锚点；正式采购仍需同规格、同税费和服务范围询价</x:v>
      </x:c>
      <x:c r="AA26" s="59" t="str">
        <x:v>配套说明书入盒</x:v>
      </x:c>
      <x:c r="AB26" s="59" t="str">
        <x:v>数量按成品盒数；全局成品良率和物料损耗在选中数量公式中统一处理</x:v>
      </x:c>
    </x:row>
    <x:row r="27">
      <x:c r="A27" t="str">
        <x:v>BOM-022</x:v>
      </x:c>
      <x:c r="B27" t="str">
        <x:v>包材</x:v>
      </x:c>
      <x:c r="C27" t="str">
        <x:v>标签</x:v>
      </x:c>
      <x:c r="D27" t="str">
        <x:v>产品、管体和外盒标签</x:v>
      </x:c>
      <x:c r="E27" s="12" t="str">
        <x:v>耐低温、耐冷凝、可追溯</x:v>
      </x:c>
      <x:c r="F27" t="str">
        <x:v>套</x:v>
      </x:c>
      <x:c r="G27" s="49" t="n">
        <x:v>10000</x:v>
      </x:c>
      <x:c r="H27" s="49" t="n">
        <x:v>50000</x:v>
      </x:c>
      <x:c r="I27" s="49" t="n">
        <x:v>200000</x:v>
      </x:c>
      <x:c r="J27" s="50" t="n">
        <x:f>IF('02_假设与情景'!$B$5="S1",G27,IF('02_假设与情景'!$B$5="S2",H27,I27))/'02_假设与情景'!$B$8*(1+'02_假设与情景'!$B$9)</x:f>
        <x:v>57065.21739130435</x:v>
      </x:c>
      <x:c r="K27" s="56" t="n">
        <x:v>0.5</x:v>
      </x:c>
      <x:c r="L27" s="29" t="str">
        <x:v>CNY</x:v>
      </x:c>
      <x:c r="M27" s="29" t="str">
        <x:v>原始来源税态未统一披露；模型按含税到厂预算口径归一化，正式询价复核</x:v>
      </x:c>
      <x:c r="N27" s="29"/>
      <x:c r="O27" s="29"/>
      <x:c r="P27" s="57" t="n">
        <x:v>0.5</x:v>
      </x:c>
      <x:c r="Q27" s="57" t="n">
        <x:v>0.4803</x:v>
      </x:c>
      <x:c r="R27" s="57" t="n">
        <x:v>0.4941</x:v>
      </x:c>
      <x:c r="S27" s="57" t="n">
        <x:v>0.2</x:v>
      </x:c>
      <x:c r="T27" s="57" t="n">
        <x:v>1.2</x:v>
      </x:c>
      <x:c r="U27" s="52" t="n">
        <x:f>ROUND(J27*P27,2)</x:f>
        <x:v>28532.61</x:v>
      </x:c>
      <x:c r="V27" s="52" t="n">
        <x:f>ROUND(J27*S27,2)</x:f>
        <x:v>11413.04</x:v>
      </x:c>
      <x:c r="W27" s="52" t="n">
        <x:f>ROUND(J27*T27,2)</x:f>
        <x:v>68478.26</x:v>
      </x:c>
      <x:c r="X27" s="53" t="n">
        <x:v>4</x:v>
      </x:c>
      <x:c r="Y27" s="59" t="str">
        <x:v>SRC-028, SRC-009, SRC-010, SRC-011</x:v>
      </x:c>
      <x:c r="Z27" s="59" t="str">
        <x:v>公开价格锚点；正式采购仍需同规格、同税费和服务范围询价</x:v>
      </x:c>
      <x:c r="AA27" s="59" t="str">
        <x:v>贴产品标签</x:v>
      </x:c>
      <x:c r="AB27" s="59" t="str">
        <x:v>数量按成品盒数；全局成品良率和物料损耗在选中数量公式中统一处理</x:v>
      </x:c>
    </x:row>
    <x:row r="28">
      <x:c r="A28" t="str">
        <x:v>BOM-023</x:v>
      </x:c>
      <x:c r="B28" t="str">
        <x:v>包材</x:v>
      </x:c>
      <x:c r="C28" t="str">
        <x:v>防伪</x:v>
      </x:c>
      <x:c r="D28" t="str">
        <x:v>防伪标签或数字码</x:v>
      </x:c>
      <x:c r="E28" s="12" t="str">
        <x:v>与MES/批号关联</x:v>
      </x:c>
      <x:c r="F28" t="str">
        <x:v>套</x:v>
      </x:c>
      <x:c r="G28" s="49" t="n">
        <x:v>10000</x:v>
      </x:c>
      <x:c r="H28" s="49" t="n">
        <x:v>50000</x:v>
      </x:c>
      <x:c r="I28" s="49" t="n">
        <x:v>200000</x:v>
      </x:c>
      <x:c r="J28" s="50" t="n">
        <x:f>IF('02_假设与情景'!$B$5="S1",G28,IF('02_假设与情景'!$B$5="S2",H28,I28))/'02_假设与情景'!$B$8*(1+'02_假设与情景'!$B$9)</x:f>
        <x:v>57065.21739130435</x:v>
      </x:c>
      <x:c r="K28" s="56" t="n">
        <x:v>0.3</x:v>
      </x:c>
      <x:c r="L28" s="29" t="str">
        <x:v>CNY</x:v>
      </x:c>
      <x:c r="M28" s="29" t="str">
        <x:v>原始来源税态未统一披露；模型按含税到厂预算口径归一化，正式询价复核</x:v>
      </x:c>
      <x:c r="N28" s="29"/>
      <x:c r="O28" s="29"/>
      <x:c r="P28" s="57" t="n">
        <x:v>0.3</x:v>
      </x:c>
      <x:c r="Q28" s="57" t="n">
        <x:v>0.2882</x:v>
      </x:c>
      <x:c r="R28" s="57" t="n">
        <x:v>0.2965</x:v>
      </x:c>
      <x:c r="S28" s="57" t="n">
        <x:v>0.1</x:v>
      </x:c>
      <x:c r="T28" s="57" t="n">
        <x:v>0.8</x:v>
      </x:c>
      <x:c r="U28" s="52" t="n">
        <x:f>ROUND(J28*P28,2)</x:f>
        <x:v>17119.57</x:v>
      </x:c>
      <x:c r="V28" s="52" t="n">
        <x:f>ROUND(J28*S28,2)</x:f>
        <x:v>5706.52</x:v>
      </x:c>
      <x:c r="W28" s="52" t="n">
        <x:f>ROUND(J28*T28,2)</x:f>
        <x:v>45652.17</x:v>
      </x:c>
      <x:c r="X28" s="53" t="n">
        <x:v>4</x:v>
      </x:c>
      <x:c r="Y28" s="59" t="str">
        <x:v>SRC-028, SRC-009, SRC-010, SRC-011</x:v>
      </x:c>
      <x:c r="Z28" s="59" t="str">
        <x:v>公开价格锚点；正式采购仍需同规格、同税费和服务范围询价</x:v>
      </x:c>
      <x:c r="AA28" s="59" t="str">
        <x:v>贴产品标签、防伪</x:v>
      </x:c>
      <x:c r="AB28" s="59" t="str">
        <x:v>数量按成品盒数；全局成品良率和物料损耗在选中数量公式中统一处理</x:v>
      </x:c>
    </x:row>
    <x:row r="29">
      <x:c r="A29" t="str">
        <x:v>BOM-024</x:v>
      </x:c>
      <x:c r="B29" t="str">
        <x:v>包材</x:v>
      </x:c>
      <x:c r="C29" t="str">
        <x:v>热缩膜</x:v>
      </x:c>
      <x:c r="D29" t="str">
        <x:v>试剂盒热缩膜</x:v>
      </x:c>
      <x:c r="E29" s="12" t="str">
        <x:v>透明、低温储运适用</x:v>
      </x:c>
      <x:c r="F29" t="str">
        <x:v>套</x:v>
      </x:c>
      <x:c r="G29" s="49" t="n">
        <x:v>10000</x:v>
      </x:c>
      <x:c r="H29" s="49" t="n">
        <x:v>50000</x:v>
      </x:c>
      <x:c r="I29" s="49" t="n">
        <x:v>200000</x:v>
      </x:c>
      <x:c r="J29" s="50" t="n">
        <x:f>IF('02_假设与情景'!$B$5="S1",G29,IF('02_假设与情景'!$B$5="S2",H29,I29))/'02_假设与情景'!$B$8*(1+'02_假设与情景'!$B$9)</x:f>
        <x:v>57065.21739130435</x:v>
      </x:c>
      <x:c r="K29" s="56" t="n">
        <x:v>0.2</x:v>
      </x:c>
      <x:c r="L29" s="29" t="str">
        <x:v>CNY</x:v>
      </x:c>
      <x:c r="M29" s="29" t="str">
        <x:v>原始来源税态未统一披露；模型按含税到厂预算口径归一化，正式询价复核</x:v>
      </x:c>
      <x:c r="N29" s="29"/>
      <x:c r="O29" s="29"/>
      <x:c r="P29" s="57" t="n">
        <x:v>0.2</x:v>
      </x:c>
      <x:c r="Q29" s="57" t="n">
        <x:v>0.1921</x:v>
      </x:c>
      <x:c r="R29" s="57" t="n">
        <x:v>0.1976</x:v>
      </x:c>
      <x:c r="S29" s="57" t="n">
        <x:v>0.08</x:v>
      </x:c>
      <x:c r="T29" s="57" t="n">
        <x:v>0.5</x:v>
      </x:c>
      <x:c r="U29" s="52" t="n">
        <x:f>ROUND(J29*P29,2)</x:f>
        <x:v>11413.04</x:v>
      </x:c>
      <x:c r="V29" s="52" t="n">
        <x:f>ROUND(J29*S29,2)</x:f>
        <x:v>4565.22</x:v>
      </x:c>
      <x:c r="W29" s="52" t="n">
        <x:f>ROUND(J29*T29,2)</x:f>
        <x:v>28532.61</x:v>
      </x:c>
      <x:c r="X29" s="53" t="n">
        <x:v>4</x:v>
      </x:c>
      <x:c r="Y29" s="59" t="str">
        <x:v>SRC-028, SRC-009, SRC-010, SRC-011</x:v>
      </x:c>
      <x:c r="Z29" s="59" t="str">
        <x:v>公开价格锚点；正式采购仍需同规格、同税费和服务范围询价</x:v>
      </x:c>
      <x:c r="AA29" s="59" t="str">
        <x:v>封盒、热缩膜</x:v>
      </x:c>
      <x:c r="AB29" s="59" t="str">
        <x:v>数量按成品盒数；全局成品良率和物料损耗在选中数量公式中统一处理</x:v>
      </x:c>
    </x:row>
    <x:row r="30">
      <x:c r="A30" t="str">
        <x:v>BOM-025</x:v>
      </x:c>
      <x:c r="B30" t="str">
        <x:v>QC耗材</x:v>
      </x:c>
      <x:c r="C30" t="str">
        <x:v>核酸酶检测</x:v>
      </x:c>
      <x:c r="D30" t="str">
        <x:v>DNase/RNase检测试剂</x:v>
      </x:c>
      <x:c r="E30" s="12" t="str">
        <x:v>生化原料入厂检验</x:v>
      </x:c>
      <x:c r="F30" t="str">
        <x:v>批次</x:v>
      </x:c>
      <x:c r="G30" s="49" t="n">
        <x:v>20</x:v>
      </x:c>
      <x:c r="H30" s="49" t="n">
        <x:v>50</x:v>
      </x:c>
      <x:c r="I30" s="49" t="n">
        <x:v>100</x:v>
      </x:c>
      <x:c r="J30" s="50" t="n">
        <x:f>IF('02_假设与情景'!$B$5="S1",G30,IF('02_假设与情景'!$B$5="S2",H30,I30))</x:f>
        <x:v>50</x:v>
      </x:c>
      <x:c r="K30" s="56" t="n">
        <x:v>1500</x:v>
      </x:c>
      <x:c r="L30" s="29" t="str">
        <x:v>CNY</x:v>
      </x:c>
      <x:c r="M30" s="29" t="str">
        <x:v>原始来源税态未统一披露；模型按含税到厂预算口径归一化，正式询价复核</x:v>
      </x:c>
      <x:c r="N30" s="29"/>
      <x:c r="O30" s="29"/>
      <x:c r="P30" s="57" t="n">
        <x:v>1500</x:v>
      </x:c>
      <x:c r="Q30" s="57" t="n">
        <x:v>1440.9222</x:v>
      </x:c>
      <x:c r="R30" s="57" t="n">
        <x:v>1482.4302</x:v>
      </x:c>
      <x:c r="S30" s="57" t="n">
        <x:v>700</x:v>
      </x:c>
      <x:c r="T30" s="57" t="n">
        <x:v>3000</x:v>
      </x:c>
      <x:c r="U30" s="52" t="n">
        <x:f>ROUND(J30*P30,2)</x:f>
        <x:v>75000</x:v>
      </x:c>
      <x:c r="V30" s="52" t="n">
        <x:f>ROUND(J30*S30,2)</x:f>
        <x:v>35000</x:v>
      </x:c>
      <x:c r="W30" s="52" t="n">
        <x:f>ROUND(J30*T30,2)</x:f>
        <x:v>150000</x:v>
      </x:c>
      <x:c r="X30" s="53" t="n">
        <x:v>3</x:v>
      </x:c>
      <x:c r="Y30" s="59" t="str">
        <x:v>SRC-031, SRC-009, SRC-010, SRC-011</x:v>
      </x:c>
      <x:c r="Z30" s="59" t="str">
        <x:v>需正式询价；当前值仅作预算占位或低可信市场锚点</x:v>
      </x:c>
      <x:c r="AA30" s="59" t="str">
        <x:v>检测DNase/RNase</x:v>
      </x:c>
      <x:c r="AB3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1">
      <x:c r="A31" t="str">
        <x:v>BOM-026</x:v>
      </x:c>
      <x:c r="B31" t="str">
        <x:v>QC耗材</x:v>
      </x:c>
      <x:c r="C31" t="str">
        <x:v>测序质谱</x:v>
      </x:c>
      <x:c r="D31" t="str">
        <x:v>测序/质谱/HPLC样品检测耗材</x:v>
      </x:c>
      <x:c r="E31" s="12" t="str">
        <x:v>自检耗材；委外费用另列OPEX</x:v>
      </x:c>
      <x:c r="F31" t="str">
        <x:v>批次</x:v>
      </x:c>
      <x:c r="G31" s="49" t="n">
        <x:v>20</x:v>
      </x:c>
      <x:c r="H31" s="49" t="n">
        <x:v>50</x:v>
      </x:c>
      <x:c r="I31" s="49" t="n">
        <x:v>100</x:v>
      </x:c>
      <x:c r="J31" s="50" t="n">
        <x:f>IF('02_假设与情景'!$B$5="S1",G31,IF('02_假设与情景'!$B$5="S2",H31,I31))</x:f>
        <x:v>50</x:v>
      </x:c>
      <x:c r="K31" s="56" t="n">
        <x:v>6000</x:v>
      </x:c>
      <x:c r="L31" s="29" t="str">
        <x:v>CNY</x:v>
      </x:c>
      <x:c r="M31" s="29" t="str">
        <x:v>原始来源税态未统一披露；模型按含税到厂预算口径归一化，正式询价复核</x:v>
      </x:c>
      <x:c r="N31" s="29"/>
      <x:c r="O31" s="29"/>
      <x:c r="P31" s="57" t="n">
        <x:v>6000</x:v>
      </x:c>
      <x:c r="Q31" s="57" t="n">
        <x:v>5763.6888</x:v>
      </x:c>
      <x:c r="R31" s="57" t="n">
        <x:v>5929.721</x:v>
      </x:c>
      <x:c r="S31" s="57" t="n">
        <x:v>2500</x:v>
      </x:c>
      <x:c r="T31" s="57" t="n">
        <x:v>15000</x:v>
      </x:c>
      <x:c r="U31" s="52" t="n">
        <x:f>ROUND(J31*P31,2)</x:f>
        <x:v>300000</x:v>
      </x:c>
      <x:c r="V31" s="52" t="n">
        <x:f>ROUND(J31*S31,2)</x:f>
        <x:v>125000</x:v>
      </x:c>
      <x:c r="W31" s="52" t="n">
        <x:f>ROUND(J31*T31,2)</x:f>
        <x:v>750000</x:v>
      </x:c>
      <x:c r="X31" s="53" t="n">
        <x:v>3</x:v>
      </x:c>
      <x:c r="Y31" s="59" t="str">
        <x:v>SRC-006, SRC-031, SRC-009, SRC-010, SRC-011</x:v>
      </x:c>
      <x:c r="Z31" s="59" t="str">
        <x:v>需正式询价；当前值仅作预算占位或低可信市场锚点</x:v>
      </x:c>
      <x:c r="AA31" s="59" t="str">
        <x:v>质粒测序/寡核苷酸质谱HPLC</x:v>
      </x:c>
      <x:c r="AB31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2">
      <x:c r="A32" t="str">
        <x:v>BOM-027</x:v>
      </x:c>
      <x:c r="B32" t="str">
        <x:v>QC耗材</x:v>
      </x:c>
      <x:c r="C32" t="str">
        <x:v>qPCR</x:v>
      </x:c>
      <x:c r="D32" t="str">
        <x:v>qPCR性能检测试剂及板管</x:v>
      </x:c>
      <x:c r="E32" s="12" t="str">
        <x:v>空白、野生、突变、0.1% VAF</x:v>
      </x:c>
      <x:c r="F32" t="str">
        <x:v>批次</x:v>
      </x:c>
      <x:c r="G32" s="49" t="n">
        <x:v>20</x:v>
      </x:c>
      <x:c r="H32" s="49" t="n">
        <x:v>50</x:v>
      </x:c>
      <x:c r="I32" s="49" t="n">
        <x:v>100</x:v>
      </x:c>
      <x:c r="J32" s="50" t="n">
        <x:f>IF('02_假设与情景'!$B$5="S1",G32,IF('02_假设与情景'!$B$5="S2",H32,I32))</x:f>
        <x:v>50</x:v>
      </x:c>
      <x:c r="K32" s="56" t="n">
        <x:v>5000</x:v>
      </x:c>
      <x:c r="L32" s="29" t="str">
        <x:v>CNY</x:v>
      </x:c>
      <x:c r="M32" s="29" t="str">
        <x:v>原始来源税态未统一披露；模型按含税到厂预算口径归一化，正式询价复核</x:v>
      </x:c>
      <x:c r="N32" s="29"/>
      <x:c r="O32" s="29"/>
      <x:c r="P32" s="57" t="n">
        <x:v>5000</x:v>
      </x:c>
      <x:c r="Q32" s="57" t="n">
        <x:v>4803.074</x:v>
      </x:c>
      <x:c r="R32" s="57" t="n">
        <x:v>4941.4342</x:v>
      </x:c>
      <x:c r="S32" s="57" t="n">
        <x:v>2000</x:v>
      </x:c>
      <x:c r="T32" s="57" t="n">
        <x:v>12000</x:v>
      </x:c>
      <x:c r="U32" s="52" t="n">
        <x:f>ROUND(J32*P32,2)</x:f>
        <x:v>250000</x:v>
      </x:c>
      <x:c r="V32" s="52" t="n">
        <x:f>ROUND(J32*S32,2)</x:f>
        <x:v>100000</x:v>
      </x:c>
      <x:c r="W32" s="52" t="n">
        <x:f>ROUND(J32*T32,2)</x:f>
        <x:v>600000</x:v>
      </x:c>
      <x:c r="X32" s="53" t="n">
        <x:v>3</x:v>
      </x:c>
      <x:c r="Y32" s="59" t="str">
        <x:v>SRC-007, SRC-008, SRC-009, SRC-010, SRC-011</x:v>
      </x:c>
      <x:c r="Z32" s="59" t="str">
        <x:v>需正式询价；当前值仅作预算占位或低可信市场锚点</x:v>
      </x:c>
      <x:c r="AA32" s="59" t="str">
        <x:v>模拟临床操作流程/qPCR扩增</x:v>
      </x:c>
      <x:c r="AB32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3">
      <x:c r="A33" t="str">
        <x:v>BOM-028</x:v>
      </x:c>
      <x:c r="B33" t="str">
        <x:v>QC耗材</x:v>
      </x:c>
      <x:c r="C33" t="str">
        <x:v>电泳</x:v>
      </x:c>
      <x:c r="D33" t="str">
        <x:v>琼脂糖电泳与成像耗材</x:v>
      </x:c>
      <x:c r="E33" s="12" t="str">
        <x:v>琼脂糖、缓冲液、染料、Marker</x:v>
      </x:c>
      <x:c r="F33" t="str">
        <x:v>批次</x:v>
      </x:c>
      <x:c r="G33" s="49" t="n">
        <x:v>20</x:v>
      </x:c>
      <x:c r="H33" s="49" t="n">
        <x:v>50</x:v>
      </x:c>
      <x:c r="I33" s="49" t="n">
        <x:v>100</x:v>
      </x:c>
      <x:c r="J33" s="50" t="n">
        <x:f>IF('02_假设与情景'!$B$5="S1",G33,IF('02_假设与情景'!$B$5="S2",H33,I33))</x:f>
        <x:v>50</x:v>
      </x:c>
      <x:c r="K33" s="56" t="n">
        <x:v>1500</x:v>
      </x:c>
      <x:c r="L33" s="29" t="str">
        <x:v>CNY</x:v>
      </x:c>
      <x:c r="M33" s="29" t="str">
        <x:v>原始来源税态未统一披露；模型按含税到厂预算口径归一化，正式询价复核</x:v>
      </x:c>
      <x:c r="N33" s="29"/>
      <x:c r="O33" s="29"/>
      <x:c r="P33" s="57" t="n">
        <x:v>1500</x:v>
      </x:c>
      <x:c r="Q33" s="57" t="n">
        <x:v>1440.9222</x:v>
      </x:c>
      <x:c r="R33" s="57" t="n">
        <x:v>1482.4302</x:v>
      </x:c>
      <x:c r="S33" s="57" t="n">
        <x:v>600</x:v>
      </x:c>
      <x:c r="T33" s="57" t="n">
        <x:v>4000</x:v>
      </x:c>
      <x:c r="U33" s="52" t="n">
        <x:f>ROUND(J33*P33,2)</x:f>
        <x:v>75000</x:v>
      </x:c>
      <x:c r="V33" s="52" t="n">
        <x:f>ROUND(J33*S33,2)</x:f>
        <x:v>30000</x:v>
      </x:c>
      <x:c r="W33" s="52" t="n">
        <x:f>ROUND(J33*T33,2)</x:f>
        <x:v>200000</x:v>
      </x:c>
      <x:c r="X33" s="53" t="n">
        <x:v>3</x:v>
      </x:c>
      <x:c r="Y33" s="59" t="str">
        <x:v>SRC-028, SRC-009, SRC-010, SRC-011</x:v>
      </x:c>
      <x:c r="Z33" s="59" t="str">
        <x:v>需正式询价；当前值仅作预算占位或低可信市场锚点</x:v>
      </x:c>
      <x:c r="AA33" s="59" t="str">
        <x:v>琼脂糖电泳验证</x:v>
      </x:c>
      <x:c r="AB33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4">
      <x:c r="A34" t="str">
        <x:v>BOM-029</x:v>
      </x:c>
      <x:c r="B34" t="str">
        <x:v>QC耗材</x:v>
      </x:c>
      <x:c r="C34" t="str">
        <x:v>低丰度配制</x:v>
      </x:c>
      <x:c r="D34" t="str">
        <x:v>0.1% VAF梯度稀释耗材</x:v>
      </x:c>
      <x:c r="E34" s="12" t="str">
        <x:v>低吸附管、稀释液、校准耗材</x:v>
      </x:c>
      <x:c r="F34" t="str">
        <x:v>批次</x:v>
      </x:c>
      <x:c r="G34" s="49" t="n">
        <x:v>20</x:v>
      </x:c>
      <x:c r="H34" s="49" t="n">
        <x:v>50</x:v>
      </x:c>
      <x:c r="I34" s="49" t="n">
        <x:v>100</x:v>
      </x:c>
      <x:c r="J34" s="50" t="n">
        <x:f>IF('02_假设与情景'!$B$5="S1",G34,IF('02_假设与情景'!$B$5="S2",H34,I34))</x:f>
        <x:v>50</x:v>
      </x:c>
      <x:c r="K34" s="56" t="n">
        <x:v>1200</x:v>
      </x:c>
      <x:c r="L34" s="29" t="str">
        <x:v>CNY</x:v>
      </x:c>
      <x:c r="M34" s="29" t="str">
        <x:v>原始来源税态未统一披露；模型按含税到厂预算口径归一化，正式询价复核</x:v>
      </x:c>
      <x:c r="N34" s="29"/>
      <x:c r="O34" s="29"/>
      <x:c r="P34" s="57" t="n">
        <x:v>1200</x:v>
      </x:c>
      <x:c r="Q34" s="57" t="n">
        <x:v>1152.7378</x:v>
      </x:c>
      <x:c r="R34" s="57" t="n">
        <x:v>1185.9442</x:v>
      </x:c>
      <x:c r="S34" s="57" t="n">
        <x:v>500</x:v>
      </x:c>
      <x:c r="T34" s="57" t="n">
        <x:v>3000</x:v>
      </x:c>
      <x:c r="U34" s="52" t="n">
        <x:f>ROUND(J34*P34,2)</x:f>
        <x:v>60000</x:v>
      </x:c>
      <x:c r="V34" s="52" t="n">
        <x:f>ROUND(J34*S34,2)</x:f>
        <x:v>25000</x:v>
      </x:c>
      <x:c r="W34" s="52" t="n">
        <x:f>ROUND(J34*T34,2)</x:f>
        <x:v>150000</x:v>
      </x:c>
      <x:c r="X34" s="53" t="n">
        <x:v>3</x:v>
      </x:c>
      <x:c r="Y34" s="59" t="str">
        <x:v>SRC-028, SRC-009, SRC-010, SRC-011</x:v>
      </x:c>
      <x:c r="Z34" s="59" t="str">
        <x:v>需正式询价；当前值仅作预算占位或低可信市场锚点</x:v>
      </x:c>
      <x:c r="AA34" s="59" t="str">
        <x:v>制备0.1%低丰度弱阳性模板</x:v>
      </x:c>
      <x:c r="AB34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5">
      <x:c r="A35" t="str">
        <x:v>BOM-030</x:v>
      </x:c>
      <x:c r="B35" t="str">
        <x:v>QC耗材</x:v>
      </x:c>
      <x:c r="C35" t="str">
        <x:v>标准与校准</x:v>
      </x:c>
      <x:c r="D35" t="str">
        <x:v>温度、荧光、移液和称量校准材料</x:v>
      </x:c>
      <x:c r="E35" s="12" t="str">
        <x:v>日常核查与期间核查</x:v>
      </x:c>
      <x:c r="F35" t="str">
        <x:v>年</x:v>
      </x:c>
      <x:c r="G35" s="49" t="n">
        <x:v>1</x:v>
      </x:c>
      <x:c r="H35" s="49" t="n">
        <x:v>1</x:v>
      </x:c>
      <x:c r="I35" s="49" t="n">
        <x:v>1</x:v>
      </x:c>
      <x:c r="J35" s="50" t="n">
        <x:f>IF('02_假设与情景'!$B$5="S1",G35,IF('02_假设与情景'!$B$5="S2",H35,I35))</x:f>
        <x:v>1</x:v>
      </x:c>
      <x:c r="K35" s="56" t="n">
        <x:v>80000</x:v>
      </x:c>
      <x:c r="L35" s="29" t="str">
        <x:v>CNY</x:v>
      </x:c>
      <x:c r="M35" s="29" t="str">
        <x:v>原始来源税态未统一披露；模型按含税到厂预算口径归一化，正式询价复核</x:v>
      </x:c>
      <x:c r="N35" s="29"/>
      <x:c r="O35" s="29"/>
      <x:c r="P35" s="57" t="n">
        <x:v>80000</x:v>
      </x:c>
      <x:c r="Q35" s="57" t="n">
        <x:v>76849.1835</x:v>
      </x:c>
      <x:c r="R35" s="57" t="n">
        <x:v>79062.946</x:v>
      </x:c>
      <x:c r="S35" s="57" t="n">
        <x:v>30000</x:v>
      </x:c>
      <x:c r="T35" s="57" t="n">
        <x:v>180000</x:v>
      </x:c>
      <x:c r="U35" s="52" t="n">
        <x:f>ROUND(J35*P35,2)</x:f>
        <x:v>80000</x:v>
      </x:c>
      <x:c r="V35" s="52" t="n">
        <x:f>ROUND(J35*S35,2)</x:f>
        <x:v>30000</x:v>
      </x:c>
      <x:c r="W35" s="52" t="n">
        <x:f>ROUND(J35*T35,2)</x:f>
        <x:v>180000</x:v>
      </x:c>
      <x:c r="X35" s="53" t="n">
        <x:v>2</x:v>
      </x:c>
      <x:c r="Y35" s="59" t="str">
        <x:v>SRC-031, SRC-009, SRC-010, SRC-011</x:v>
      </x:c>
      <x:c r="Z35" s="59" t="str">
        <x:v>需正式询价；当前值仅作预算占位或低可信市场锚点</x:v>
      </x:c>
      <x:c r="AA35" s="59" t="str">
        <x:v>检测/在线称重/荧光基线</x:v>
      </x:c>
      <x:c r="AB35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6">
      <x:c r="A36" t="str">
        <x:v>BOM-031</x:v>
      </x:c>
      <x:c r="B36" t="str">
        <x:v>生产耗材</x:v>
      </x:c>
      <x:c r="C36" t="str">
        <x:v>一次性耗材</x:v>
      </x:c>
      <x:c r="D36" t="str">
        <x:v>吸头、离心管、样品管和移液槽</x:v>
      </x:c>
      <x:c r="E36" s="12" t="str">
        <x:v>无核酸酶、低吸附规格</x:v>
      </x:c>
      <x:c r="F36" t="str">
        <x:v>盒</x:v>
      </x:c>
      <x:c r="G36" s="49" t="n">
        <x:v>500</x:v>
      </x:c>
      <x:c r="H36" s="49" t="n">
        <x:v>1500</x:v>
      </x:c>
      <x:c r="I36" s="49" t="n">
        <x:v>5000</x:v>
      </x:c>
      <x:c r="J36" s="50" t="n">
        <x:f>IF('02_假设与情景'!$B$5="S1",G36,IF('02_假设与情景'!$B$5="S2",H36,I36))</x:f>
        <x:v>1500</x:v>
      </x:c>
      <x:c r="K36" s="56" t="n">
        <x:v>180</x:v>
      </x:c>
      <x:c r="L36" s="29" t="str">
        <x:v>CNY</x:v>
      </x:c>
      <x:c r="M36" s="29" t="str">
        <x:v>原始来源税态未统一披露；模型按含税到厂预算口径归一化，正式询价复核</x:v>
      </x:c>
      <x:c r="N36" s="29"/>
      <x:c r="O36" s="29"/>
      <x:c r="P36" s="57" t="n">
        <x:v>180</x:v>
      </x:c>
      <x:c r="Q36" s="57" t="n">
        <x:v>172.9107</x:v>
      </x:c>
      <x:c r="R36" s="57" t="n">
        <x:v>177.8917</x:v>
      </x:c>
      <x:c r="S36" s="57" t="n">
        <x:v>100</x:v>
      </x:c>
      <x:c r="T36" s="57" t="n">
        <x:v>400</x:v>
      </x:c>
      <x:c r="U36" s="52" t="n">
        <x:f>ROUND(J36*P36,2)</x:f>
        <x:v>270000</x:v>
      </x:c>
      <x:c r="V36" s="52" t="n">
        <x:f>ROUND(J36*S36,2)</x:f>
        <x:v>150000</x:v>
      </x:c>
      <x:c r="W36" s="52" t="n">
        <x:f>ROUND(J36*T36,2)</x:f>
        <x:v>600000</x:v>
      </x:c>
      <x:c r="X36" s="53" t="n">
        <x:v>4</x:v>
      </x:c>
      <x:c r="Y36" s="59" t="str">
        <x:v>SRC-028, SRC-009, SRC-010, SRC-011</x:v>
      </x:c>
      <x:c r="Z36" s="59" t="str">
        <x:v>公开价格锚点；正式采购仍需同规格、同税费和服务范围询价</x:v>
      </x:c>
      <x:c r="AA36" s="59" t="str">
        <x:v>配液/质控/分装取样</x:v>
      </x:c>
      <x:c r="AB36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7">
      <x:c r="A37" t="str">
        <x:v>BOM-032</x:v>
      </x:c>
      <x:c r="B37" t="str">
        <x:v>生产耗材</x:v>
      </x:c>
      <x:c r="C37" t="str">
        <x:v>清洁消毒</x:v>
      </x:c>
      <x:c r="D37" t="str">
        <x:v>洁净区清洁剂、消毒剂和擦拭材料</x:v>
      </x:c>
      <x:c r="E37" s="12" t="str">
        <x:v>轮换使用、低残留</x:v>
      </x:c>
      <x:c r="F37" t="str">
        <x:v>月</x:v>
      </x:c>
      <x:c r="G37" s="49" t="n">
        <x:v>12</x:v>
      </x:c>
      <x:c r="H37" s="49" t="n">
        <x:v>12</x:v>
      </x:c>
      <x:c r="I37" s="49" t="n">
        <x:v>12</x:v>
      </x:c>
      <x:c r="J37" s="50" t="n">
        <x:f>IF('02_假设与情景'!$B$5="S1",G37,IF('02_假设与情景'!$B$5="S2",H37,I37))</x:f>
        <x:v>12</x:v>
      </x:c>
      <x:c r="K37" s="56" t="n">
        <x:v>12000</x:v>
      </x:c>
      <x:c r="L37" s="29" t="str">
        <x:v>CNY</x:v>
      </x:c>
      <x:c r="M37" s="29" t="str">
        <x:v>原始来源税态未统一披露；模型按含税到厂预算口径归一化，正式询价复核</x:v>
      </x:c>
      <x:c r="N37" s="29"/>
      <x:c r="O37" s="29"/>
      <x:c r="P37" s="57" t="n">
        <x:v>12000</x:v>
      </x:c>
      <x:c r="Q37" s="57" t="n">
        <x:v>11527.3775</x:v>
      </x:c>
      <x:c r="R37" s="57" t="n">
        <x:v>11859.4419</x:v>
      </x:c>
      <x:c r="S37" s="57" t="n">
        <x:v>6000</x:v>
      </x:c>
      <x:c r="T37" s="57" t="n">
        <x:v>25000</x:v>
      </x:c>
      <x:c r="U37" s="52" t="n">
        <x:f>ROUND(J37*P37,2)</x:f>
        <x:v>144000</x:v>
      </x:c>
      <x:c r="V37" s="52" t="n">
        <x:f>ROUND(J37*S37,2)</x:f>
        <x:v>72000</x:v>
      </x:c>
      <x:c r="W37" s="52" t="n">
        <x:f>ROUND(J37*T37,2)</x:f>
        <x:v>300000</x:v>
      </x:c>
      <x:c r="X37" s="53" t="n">
        <x:v>3</x:v>
      </x:c>
      <x:c r="Y37" s="59" t="str">
        <x:v>SRC-028, SRC-009, SRC-010, SRC-011</x:v>
      </x:c>
      <x:c r="Z37" s="59" t="str">
        <x:v>需正式询价；当前值仅作预算占位或低可信市场锚点</x:v>
      </x:c>
      <x:c r="AA37" s="59" t="str">
        <x:v>洁净区污染控制</x:v>
      </x:c>
      <x:c r="AB37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8">
      <x:c r="A38" t="str">
        <x:v>BOM-033</x:v>
      </x:c>
      <x:c r="B38" t="str">
        <x:v>生产耗材</x:v>
      </x:c>
      <x:c r="C38" t="str">
        <x:v>PPE</x:v>
      </x:c>
      <x:c r="D38" t="str">
        <x:v>洁净服、手套、口罩、鞋套</x:v>
      </x:c>
      <x:c r="E38" s="12" t="str">
        <x:v>按洁净等级和人员配置</x:v>
      </x:c>
      <x:c r="F38" t="str">
        <x:v>人·年</x:v>
      </x:c>
      <x:c r="G38" s="49" t="n">
        <x:v>29</x:v>
      </x:c>
      <x:c r="H38" s="49" t="n">
        <x:v>54</x:v>
      </x:c>
      <x:c r="I38" s="49" t="n">
        <x:v>94</x:v>
      </x:c>
      <x:c r="J38" s="50" t="n">
        <x:f>IF('02_假设与情景'!$B$5="S1",G38,IF('02_假设与情景'!$B$5="S2",H38,I38))</x:f>
        <x:v>54</x:v>
      </x:c>
      <x:c r="K38" s="56" t="n">
        <x:v>2500</x:v>
      </x:c>
      <x:c r="L38" s="29" t="str">
        <x:v>CNY</x:v>
      </x:c>
      <x:c r="M38" s="29" t="str">
        <x:v>原始来源税态未统一披露；模型按含税到厂预算口径归一化，正式询价复核</x:v>
      </x:c>
      <x:c r="N38" s="29"/>
      <x:c r="O38" s="29"/>
      <x:c r="P38" s="57" t="n">
        <x:v>2500</x:v>
      </x:c>
      <x:c r="Q38" s="57" t="n">
        <x:v>2401.537</x:v>
      </x:c>
      <x:c r="R38" s="57" t="n">
        <x:v>2470.7171</x:v>
      </x:c>
      <x:c r="S38" s="57" t="n">
        <x:v>1200</x:v>
      </x:c>
      <x:c r="T38" s="57" t="n">
        <x:v>5000</x:v>
      </x:c>
      <x:c r="U38" s="52" t="n">
        <x:f>ROUND(J38*P38,2)</x:f>
        <x:v>135000</x:v>
      </x:c>
      <x:c r="V38" s="52" t="n">
        <x:f>ROUND(J38*S38,2)</x:f>
        <x:v>64800</x:v>
      </x:c>
      <x:c r="W38" s="52" t="n">
        <x:f>ROUND(J38*T38,2)</x:f>
        <x:v>270000</x:v>
      </x:c>
      <x:c r="X38" s="53" t="n">
        <x:v>3</x:v>
      </x:c>
      <x:c r="Y38" s="59" t="str">
        <x:v>SRC-028, SRC-009, SRC-010, SRC-011</x:v>
      </x:c>
      <x:c r="Z38" s="59" t="str">
        <x:v>需正式询价；当前值仅作预算占位或低可信市场锚点</x:v>
      </x:c>
      <x:c r="AA38" s="59" t="str">
        <x:v>ISO7/ISO8操作</x:v>
      </x:c>
      <x:c r="AB38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39">
      <x:c r="A39" t="str">
        <x:v>BOM-034</x:v>
      </x:c>
      <x:c r="B39" t="str">
        <x:v>物流耗材</x:v>
      </x:c>
      <x:c r="C39" t="str">
        <x:v>冷链包装</x:v>
      </x:c>
      <x:c r="D39" t="str">
        <x:v>保温箱、蓄冷剂、温度记录标签</x:v>
      </x:c>
      <x:c r="E39" s="12" t="str">
        <x:v>-20C/2-8C运输场景</x:v>
      </x:c>
      <x:c r="F39" t="str">
        <x:v>票</x:v>
      </x:c>
      <x:c r="G39" s="49" t="n">
        <x:v>500</x:v>
      </x:c>
      <x:c r="H39" s="49" t="n">
        <x:v>1500</x:v>
      </x:c>
      <x:c r="I39" s="49" t="n">
        <x:v>5000</x:v>
      </x:c>
      <x:c r="J39" s="50" t="n">
        <x:f>IF('02_假设与情景'!$B$5="S1",G39,IF('02_假设与情景'!$B$5="S2",H39,I39))</x:f>
        <x:v>1500</x:v>
      </x:c>
      <x:c r="K39" s="56" t="n">
        <x:v>35</x:v>
      </x:c>
      <x:c r="L39" s="29" t="str">
        <x:v>CNY</x:v>
      </x:c>
      <x:c r="M39" s="29" t="str">
        <x:v>原始来源税态未统一披露；模型按含税到厂预算口径归一化，正式询价复核</x:v>
      </x:c>
      <x:c r="N39" s="29"/>
      <x:c r="O39" s="29"/>
      <x:c r="P39" s="57" t="n">
        <x:v>35</x:v>
      </x:c>
      <x:c r="Q39" s="57" t="n">
        <x:v>33.6215</x:v>
      </x:c>
      <x:c r="R39" s="57" t="n">
        <x:v>34.59</x:v>
      </x:c>
      <x:c r="S39" s="57" t="n">
        <x:v>18</x:v>
      </x:c>
      <x:c r="T39" s="57" t="n">
        <x:v>80</x:v>
      </x:c>
      <x:c r="U39" s="52" t="n">
        <x:f>ROUND(J39*P39,2)</x:f>
        <x:v>52500</x:v>
      </x:c>
      <x:c r="V39" s="52" t="n">
        <x:f>ROUND(J39*S39,2)</x:f>
        <x:v>27000</x:v>
      </x:c>
      <x:c r="W39" s="52" t="n">
        <x:f>ROUND(J39*T39,2)</x:f>
        <x:v>120000</x:v>
      </x:c>
      <x:c r="X39" s="53" t="n">
        <x:v>4</x:v>
      </x:c>
      <x:c r="Y39" s="59" t="str">
        <x:v>SRC-028, SRC-009, SRC-010, SRC-011</x:v>
      </x:c>
      <x:c r="Z39" s="59" t="str">
        <x:v>公开价格锚点；正式采购仍需同规格、同税费和服务范围询价</x:v>
      </x:c>
      <x:c r="AA39" s="59" t="str">
        <x:v>冷链出库</x:v>
      </x:c>
      <x:c r="AB39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0">
      <x:c r="A40" t="str">
        <x:v>BOM-035</x:v>
      </x:c>
      <x:c r="B40" t="str">
        <x:v>记录耗材</x:v>
      </x:c>
      <x:c r="C40" t="str">
        <x:v>批记录与状态标识</x:v>
      </x:c>
      <x:c r="D40" t="str">
        <x:v>受控批记录、物料状态和留样标签</x:v>
      </x:c>
      <x:c r="E40" s="12" t="str">
        <x:v>纸质与电子并行期</x:v>
      </x:c>
      <x:c r="F40" t="str">
        <x:v>批次</x:v>
      </x:c>
      <x:c r="G40" s="49" t="n">
        <x:v>20</x:v>
      </x:c>
      <x:c r="H40" s="49" t="n">
        <x:v>50</x:v>
      </x:c>
      <x:c r="I40" s="49" t="n">
        <x:v>100</x:v>
      </x:c>
      <x:c r="J40" s="50" t="n">
        <x:f>IF('02_假设与情景'!$B$5="S1",G40,IF('02_假设与情景'!$B$5="S2",H40,I40))</x:f>
        <x:v>50</x:v>
      </x:c>
      <x:c r="K40" s="56" t="n">
        <x:v>80</x:v>
      </x:c>
      <x:c r="L40" s="29" t="str">
        <x:v>CNY</x:v>
      </x:c>
      <x:c r="M40" s="29" t="str">
        <x:v>原始来源税态未统一披露；模型按含税到厂预算口径归一化，正式询价复核</x:v>
      </x:c>
      <x:c r="N40" s="29"/>
      <x:c r="O40" s="29"/>
      <x:c r="P40" s="57" t="n">
        <x:v>80</x:v>
      </x:c>
      <x:c r="Q40" s="57" t="n">
        <x:v>76.8492</x:v>
      </x:c>
      <x:c r="R40" s="57" t="n">
        <x:v>79.063</x:v>
      </x:c>
      <x:c r="S40" s="57" t="n">
        <x:v>30</x:v>
      </x:c>
      <x:c r="T40" s="57" t="n">
        <x:v>200</x:v>
      </x:c>
      <x:c r="U40" s="52" t="n">
        <x:f>ROUND(J40*P40,2)</x:f>
        <x:v>4000</x:v>
      </x:c>
      <x:c r="V40" s="52" t="n">
        <x:f>ROUND(J40*S40,2)</x:f>
        <x:v>1500</x:v>
      </x:c>
      <x:c r="W40" s="52" t="n">
        <x:f>ROUND(J40*T40,2)</x:f>
        <x:v>10000</x:v>
      </x:c>
      <x:c r="X40" s="53" t="n">
        <x:v>3</x:v>
      </x:c>
      <x:c r="Y40" s="59" t="str">
        <x:v>SRC-028, SRC-009, SRC-010, SRC-011</x:v>
      </x:c>
      <x:c r="Z40" s="59" t="str">
        <x:v>需正式询价；当前值仅作预算占位或低可信市场锚点</x:v>
      </x:c>
      <x:c r="AA40" s="59" t="str">
        <x:v>生产批记录/检验记录保存</x:v>
      </x:c>
      <x:c r="AB40" s="59" t="str">
        <x:v>价格待来源研究；正式采购前需按同规格、数量、税费和服务范围询价；当前价为预算基准，低/高值用于敏感性，不构成供应商报价；当前价为预算基准，低/高值用于敏感性，不构成供应商报价</x:v>
      </x:c>
    </x:row>
    <x:row r="41">
      <x:c r="A41" t="str">
        <x:v>BOM-036</x:v>
      </x:c>
      <x:c r="B41" t="str">
        <x:v>寡核苷酸</x:v>
      </x:c>
      <x:c r="C41" t="str">
        <x:v>PANDA辅助链</x:v>
      </x:c>
      <x:c r="D41" t="str">
        <x:v>H1辅助链（32 nt，无修饰）</x:v>
      </x:c>
      <x:c r="E41" s="12" t="str">
        <x:v>原文3′-GTACTTCTGGAGTGTCATTTTTATCCACTAAA-5′；采购5′-AAATCACCTATTTTTACTGTGAGGTCTTCATG-3′；32 nt；Tm 51.3℃；无荧光/淬灭修饰；HPLC纯化按论文材料方法建模</x:v>
      </x:c>
      <x:c r="F41" t="str">
        <x:v>10 OD等效批</x:v>
      </x:c>
      <x:c r="G41" s="49" t="n">
        <x:v>160</x:v>
      </x:c>
      <x:c r="H41" s="49" t="n">
        <x:v>800</x:v>
      </x:c>
      <x:c r="I41" s="49" t="n">
        <x:v>3200</x:v>
      </x:c>
      <x:c r="J41" s="50" t="n">
        <x:f>IF('02_假设与情景'!$B$5="S1",G41,IF('02_假设与情景'!$B$5="S2",H41,I41))/'02_假设与情景'!$B$8*(1+'02_假设与情景'!$B$9)</x:f>
        <x:v>913.0434782608695</x:v>
      </x:c>
      <x:c r="K41" s="56" t="n">
        <x:v>180</x:v>
      </x:c>
      <x:c r="L41" s="29" t="str">
        <x:v>CNY</x:v>
      </x:c>
      <x:c r="M41" s="29" t="str">
        <x:v>公开普通引物锚点与内部10 OD代理；HPLC、税费、运费、MOQ和交付边界未统一，正式RFQ复核</x:v>
      </x:c>
      <x:c r="N41" s="29"/>
      <x:c r="O41" s="29"/>
      <x:c r="P41" s="57" t="n">
        <x:v>180</x:v>
      </x:c>
      <x:c r="Q41" s="57" t="n">
        <x:v>180</x:v>
      </x:c>
      <x:c r="R41" s="57" t="n">
        <x:v>180</x:v>
      </x:c>
      <x:c r="S41" s="57" t="n">
        <x:v>120</x:v>
      </x:c>
      <x:c r="T41" s="57" t="n">
        <x:v>350</x:v>
      </x:c>
      <x:c r="U41" s="52" t="n">
        <x:f>ROUND(J41*P41,2)</x:f>
        <x:v>164347.83</x:v>
      </x:c>
      <x:c r="V41" s="52" t="n">
        <x:f>ROUND(J41*S41,2)</x:f>
        <x:v>109565.22</x:v>
      </x:c>
      <x:c r="W41" s="52" t="n">
        <x:f>ROUND(J41*T41,2)</x:f>
        <x:v>319565.22</x:v>
      </x:c>
      <x:c r="X41" s="53" t="n">
        <x:v>3</x:v>
      </x:c>
      <x:c r="Y41" s="59" t="str">
        <x:v>SRC-001, SRC-002, SRC-003, SRC-032, SRC-034, SRC-035, SRC-036</x:v>
      </x:c>
      <x:c r="Z41" s="59" t="str">
        <x:v>需正式询价；当前值仅作10 OD等效预算代理</x:v>
      </x:c>
      <x:c r="AA41" s="59" t="str">
        <x:v>正反义探针设计/H1；核心流程2×PANDA Mix 500 μL×1000 nM</x:v>
      </x:c>
      <x:c r="AB41" s="59" t="str">
        <x:v>每盒H1=500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2">
      <x:c r="A42" t="str">
        <x:v>BOM-037</x:v>
      </x:c>
      <x:c r="B42" t="str">
        <x:v>寡核苷酸</x:v>
      </x:c>
      <x:c r="C42" t="str">
        <x:v>PANDA辅助链</x:v>
      </x:c>
      <x:c r="D42" t="str">
        <x:v>H2辅助链（18 nt，无修饰）</x:v>
      </x:c>
      <x:c r="E42" s="12" t="str">
        <x:v>原文3′-TACCTCACCCAGGGTAGT-5′；采购5′-TGATGGGACCCACTCCAT-3′；18 nt；Tm 56.3℃；无荧光/淬灭修饰；HPLC纯化按论文材料方法建模</x:v>
      </x:c>
      <x:c r="F42" t="str">
        <x:v>10 OD等效批</x:v>
      </x:c>
      <x:c r="G42" s="49" t="n">
        <x:v>90</x:v>
      </x:c>
      <x:c r="H42" s="49" t="n">
        <x:v>450</x:v>
      </x:c>
      <x:c r="I42" s="49" t="n">
        <x:v>1800</x:v>
      </x:c>
      <x:c r="J42" s="50" t="n">
        <x:f>IF('02_假设与情景'!$B$5="S1",G42,IF('02_假设与情景'!$B$5="S2",H42,I42))/'02_假设与情景'!$B$8*(1+'02_假设与情景'!$B$9)</x:f>
        <x:v>513.5869565217391</x:v>
      </x:c>
      <x:c r="K42" s="56" t="n">
        <x:v>180</x:v>
      </x:c>
      <x:c r="L42" s="29" t="str">
        <x:v>CNY</x:v>
      </x:c>
      <x:c r="M42" s="29" t="str">
        <x:v>公开普通引物锚点与内部10 OD代理；HPLC、税费、运费、MOQ和交付边界未统一，正式RFQ复核</x:v>
      </x:c>
      <x:c r="N42" s="29"/>
      <x:c r="O42" s="29"/>
      <x:c r="P42" s="57" t="n">
        <x:v>180</x:v>
      </x:c>
      <x:c r="Q42" s="57" t="n">
        <x:v>180</x:v>
      </x:c>
      <x:c r="R42" s="57" t="n">
        <x:v>180</x:v>
      </x:c>
      <x:c r="S42" s="57" t="n">
        <x:v>120</x:v>
      </x:c>
      <x:c r="T42" s="57" t="n">
        <x:v>350</x:v>
      </x:c>
      <x:c r="U42" s="52" t="n">
        <x:f>ROUND(J42*P42,2)</x:f>
        <x:v>92445.65</x:v>
      </x:c>
      <x:c r="V42" s="52" t="n">
        <x:f>ROUND(J42*S42,2)</x:f>
        <x:v>61630.43</x:v>
      </x:c>
      <x:c r="W42" s="52" t="n">
        <x:f>ROUND(J42*T42,2)</x:f>
        <x:v>179755.43</x:v>
      </x:c>
      <x:c r="X42" s="53" t="n">
        <x:v>3</x:v>
      </x:c>
      <x:c r="Y42" s="59" t="str">
        <x:v>SRC-001, SRC-002, SRC-003, SRC-032, SRC-034, SRC-035, SRC-036</x:v>
      </x:c>
      <x:c r="Z42" s="59" t="str">
        <x:v>需正式询价；当前值仅作10 OD等效预算代理</x:v>
      </x:c>
      <x:c r="AA42" s="59" t="str">
        <x:v>正反义探针设计/H2；核心流程2×PANDA Mix 500 μL×1000 nM</x:v>
      </x:c>
      <x:c r="AB42" s="59" t="str">
        <x:v>每盒H2=500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3">
      <x:c r="A43" t="str">
        <x:v>BOM-038</x:v>
      </x:c>
      <x:c r="B43" t="str">
        <x:v>寡核苷酸</x:v>
      </x:c>
      <x:c r="C43" t="str">
        <x:v>PANDA辅助链</x:v>
      </x:c>
      <x:c r="D43" t="str">
        <x:v>H3辅助链（18 nt，无修饰）</x:v>
      </x:c>
      <x:c r="E43" s="12" t="str">
        <x:v>原文3′-CTTGTCAACAGACCTAGG-5′；采购5′-GGATCCAGACAACTGTTC-3′；18 nt；Tm 55.5℃；无荧光/淬灭修饰；HPLC纯化按论文材料方法建模</x:v>
      </x:c>
      <x:c r="F43" t="str">
        <x:v>10 OD等效批</x:v>
      </x:c>
      <x:c r="G43" s="49" t="n">
        <x:v>90</x:v>
      </x:c>
      <x:c r="H43" s="49" t="n">
        <x:v>450</x:v>
      </x:c>
      <x:c r="I43" s="49" t="n">
        <x:v>1800</x:v>
      </x:c>
      <x:c r="J43" s="50" t="n">
        <x:f>IF('02_假设与情景'!$B$5="S1",G43,IF('02_假设与情景'!$B$5="S2",H43,I43))/'02_假设与情景'!$B$8*(1+'02_假设与情景'!$B$9)</x:f>
        <x:v>513.5869565217391</x:v>
      </x:c>
      <x:c r="K43" s="56" t="n">
        <x:v>180</x:v>
      </x:c>
      <x:c r="L43" s="29" t="str">
        <x:v>CNY</x:v>
      </x:c>
      <x:c r="M43" s="29" t="str">
        <x:v>公开普通引物锚点与内部10 OD代理；HPLC、税费、运费、MOQ和交付边界未统一，正式RFQ复核</x:v>
      </x:c>
      <x:c r="N43" s="29"/>
      <x:c r="O43" s="29"/>
      <x:c r="P43" s="57" t="n">
        <x:v>180</x:v>
      </x:c>
      <x:c r="Q43" s="57" t="n">
        <x:v>180</x:v>
      </x:c>
      <x:c r="R43" s="57" t="n">
        <x:v>180</x:v>
      </x:c>
      <x:c r="S43" s="57" t="n">
        <x:v>120</x:v>
      </x:c>
      <x:c r="T43" s="57" t="n">
        <x:v>350</x:v>
      </x:c>
      <x:c r="U43" s="52" t="n">
        <x:f>ROUND(J43*P43,2)</x:f>
        <x:v>92445.65</x:v>
      </x:c>
      <x:c r="V43" s="52" t="n">
        <x:f>ROUND(J43*S43,2)</x:f>
        <x:v>61630.43</x:v>
      </x:c>
      <x:c r="W43" s="52" t="n">
        <x:f>ROUND(J43*T43,2)</x:f>
        <x:v>179755.43</x:v>
      </x:c>
      <x:c r="X43" s="53" t="n">
        <x:v>3</x:v>
      </x:c>
      <x:c r="Y43" s="59" t="str">
        <x:v>SRC-001, SRC-002, SRC-003, SRC-032, SRC-034, SRC-035, SRC-036</x:v>
      </x:c>
      <x:c r="Z43" s="59" t="str">
        <x:v>需正式询价；当前值仅作10 OD等效预算代理</x:v>
      </x:c>
      <x:c r="AA43" s="59" t="str">
        <x:v>正反义探针设计/H3；核心流程2×PANDA Mix 500 μL×1000 nM</x:v>
      </x:c>
      <x:c r="AB43" s="59" t="str">
        <x:v>每盒H3=500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4">
      <x:c r="A44" t="str">
        <x:v>BOM-039</x:v>
      </x:c>
      <x:c r="B44" t="str">
        <x:v>寡核苷酸</x:v>
      </x:c>
      <x:c r="C44" t="str">
        <x:v>PANDA辅助链</x:v>
      </x:c>
      <x:c r="D44" t="str">
        <x:v>H4辅助链（19 nt，无修饰）</x:v>
      </x:c>
      <x:c r="E44" s="12" t="str">
        <x:v>5′-CTTCATGAAGACCTCACAG-3′；19 nt；Tm 53.9℃；无荧光/淬灭修饰；HPLC纯化按论文材料方法建模</x:v>
      </x:c>
      <x:c r="F44" t="str">
        <x:v>10 OD等效批</x:v>
      </x:c>
      <x:c r="G44" s="49" t="n">
        <x:v>95</x:v>
      </x:c>
      <x:c r="H44" s="49" t="n">
        <x:v>475</x:v>
      </x:c>
      <x:c r="I44" s="49" t="n">
        <x:v>1900</x:v>
      </x:c>
      <x:c r="J44" s="50" t="n">
        <x:f>IF('02_假设与情景'!$B$5="S1",G44,IF('02_假设与情景'!$B$5="S2",H44,I44))/'02_假设与情景'!$B$8*(1+'02_假设与情景'!$B$9)</x:f>
        <x:v>542.1195652173913</x:v>
      </x:c>
      <x:c r="K44" s="56" t="n">
        <x:v>180</x:v>
      </x:c>
      <x:c r="L44" s="29" t="str">
        <x:v>CNY</x:v>
      </x:c>
      <x:c r="M44" s="29" t="str">
        <x:v>公开普通引物锚点与内部10 OD代理；HPLC、税费、运费、MOQ和交付边界未统一，正式RFQ复核</x:v>
      </x:c>
      <x:c r="N44" s="29"/>
      <x:c r="O44" s="29"/>
      <x:c r="P44" s="57" t="n">
        <x:v>180</x:v>
      </x:c>
      <x:c r="Q44" s="57" t="n">
        <x:v>180</x:v>
      </x:c>
      <x:c r="R44" s="57" t="n">
        <x:v>180</x:v>
      </x:c>
      <x:c r="S44" s="57" t="n">
        <x:v>120</x:v>
      </x:c>
      <x:c r="T44" s="57" t="n">
        <x:v>350</x:v>
      </x:c>
      <x:c r="U44" s="52" t="n">
        <x:f>ROUND(J44*P44,2)</x:f>
        <x:v>97581.52</x:v>
      </x:c>
      <x:c r="V44" s="52" t="n">
        <x:f>ROUND(J44*S44,2)</x:f>
        <x:v>65054.35</x:v>
      </x:c>
      <x:c r="W44" s="52" t="n">
        <x:f>ROUND(J44*T44,2)</x:f>
        <x:v>189741.85</x:v>
      </x:c>
      <x:c r="X44" s="53" t="n">
        <x:v>3</x:v>
      </x:c>
      <x:c r="Y44" s="59" t="str">
        <x:v>SRC-001, SRC-002, SRC-003, SRC-032, SRC-034, SRC-035, SRC-036</x:v>
      </x:c>
      <x:c r="Z44" s="59" t="str">
        <x:v>需正式询价；当前值仅作10 OD等效预算代理</x:v>
      </x:c>
      <x:c r="AA44" s="59" t="str">
        <x:v>正反义探针设计/H4；核心流程2×PANDA Mix 500 μL×1000 nM</x:v>
      </x:c>
      <x:c r="AB44" s="59" t="str">
        <x:v>每盒H4=500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5">
      <x:c r="A45" t="str">
        <x:v>BOM-040</x:v>
      </x:c>
      <x:c r="B45" t="str">
        <x:v>寡核苷酸</x:v>
      </x:c>
      <x:c r="C45" t="str">
        <x:v>PANDA辅助链</x:v>
      </x:c>
      <x:c r="D45" t="str">
        <x:v>H5辅助链（22 nt，无修饰）</x:v>
      </x:c>
      <x:c r="E45" s="12" t="str">
        <x:v>5′-GGTGATTTTGGTCTAGCTACAG-3′；22 nt；Tm 54.4℃；无荧光/淬灭修饰；HPLC纯化按论文材料方法建模</x:v>
      </x:c>
      <x:c r="F45" t="str">
        <x:v>10 OD等效批</x:v>
      </x:c>
      <x:c r="G45" s="49" t="n">
        <x:v>110</x:v>
      </x:c>
      <x:c r="H45" s="49" t="n">
        <x:v>550</x:v>
      </x:c>
      <x:c r="I45" s="49" t="n">
        <x:v>2200</x:v>
      </x:c>
      <x:c r="J45" s="50" t="n">
        <x:f>IF('02_假设与情景'!$B$5="S1",G45,IF('02_假设与情景'!$B$5="S2",H45,I45))/'02_假设与情景'!$B$8*(1+'02_假设与情景'!$B$9)</x:f>
        <x:v>627.7173913043479</x:v>
      </x:c>
      <x:c r="K45" s="56" t="n">
        <x:v>180</x:v>
      </x:c>
      <x:c r="L45" s="29" t="str">
        <x:v>CNY</x:v>
      </x:c>
      <x:c r="M45" s="29" t="str">
        <x:v>公开普通引物锚点与内部10 OD代理；HPLC、税费、运费、MOQ和交付边界未统一，正式RFQ复核</x:v>
      </x:c>
      <x:c r="N45" s="29"/>
      <x:c r="O45" s="29"/>
      <x:c r="P45" s="57" t="n">
        <x:v>180</x:v>
      </x:c>
      <x:c r="Q45" s="57" t="n">
        <x:v>180</x:v>
      </x:c>
      <x:c r="R45" s="57" t="n">
        <x:v>180</x:v>
      </x:c>
      <x:c r="S45" s="57" t="n">
        <x:v>120</x:v>
      </x:c>
      <x:c r="T45" s="57" t="n">
        <x:v>350</x:v>
      </x:c>
      <x:c r="U45" s="52" t="n">
        <x:f>ROUND(J45*P45,2)</x:f>
        <x:v>112989.13</x:v>
      </x:c>
      <x:c r="V45" s="52" t="n">
        <x:f>ROUND(J45*S45,2)</x:f>
        <x:v>75326.09</x:v>
      </x:c>
      <x:c r="W45" s="52" t="n">
        <x:f>ROUND(J45*T45,2)</x:f>
        <x:v>219701.09</x:v>
      </x:c>
      <x:c r="X45" s="53" t="n">
        <x:v>3</x:v>
      </x:c>
      <x:c r="Y45" s="59" t="str">
        <x:v>SRC-001, SRC-002, SRC-003, SRC-032, SRC-034, SRC-035, SRC-036</x:v>
      </x:c>
      <x:c r="Z45" s="59" t="str">
        <x:v>需正式询价；当前值仅作10 OD等效预算代理</x:v>
      </x:c>
      <x:c r="AA45" s="59" t="str">
        <x:v>正反义探针设计/H5；核心流程2×PANDA Mix 500 μL×1000 nM</x:v>
      </x:c>
      <x:c r="AB45" s="59" t="str">
        <x:v>每盒H5=500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6">
      <x:c r="A46" t="str">
        <x:v>BOM-041</x:v>
      </x:c>
      <x:c r="B46" t="str">
        <x:v>寡核苷酸</x:v>
      </x:c>
      <x:c r="C46" t="str">
        <x:v>PANDA辅助链</x:v>
      </x:c>
      <x:c r="D46" t="str">
        <x:v>H6辅助链（18 nt，无修饰）</x:v>
      </x:c>
      <x:c r="E46" s="12" t="str">
        <x:v>5′-CGATGGAGTGGGTCCCAT-3′；18 nt；Tm 56.6℃；无荧光/淬灭修饰；HPLC纯化按论文材料方法建模</x:v>
      </x:c>
      <x:c r="F46" t="str">
        <x:v>10 OD等效批</x:v>
      </x:c>
      <x:c r="G46" s="49" t="n">
        <x:v>90</x:v>
      </x:c>
      <x:c r="H46" s="49" t="n">
        <x:v>450</x:v>
      </x:c>
      <x:c r="I46" s="49" t="n">
        <x:v>1800</x:v>
      </x:c>
      <x:c r="J46" s="50" t="n">
        <x:f>IF('02_假设与情景'!$B$5="S1",G46,IF('02_假设与情景'!$B$5="S2",H46,I46))/'02_假设与情景'!$B$8*(1+'02_假设与情景'!$B$9)</x:f>
        <x:v>513.5869565217391</x:v>
      </x:c>
      <x:c r="K46" s="56" t="n">
        <x:v>180</x:v>
      </x:c>
      <x:c r="L46" s="29" t="str">
        <x:v>CNY</x:v>
      </x:c>
      <x:c r="M46" s="29" t="str">
        <x:v>公开普通引物锚点与内部10 OD代理；HPLC、税费、运费、MOQ和交付边界未统一，正式RFQ复核</x:v>
      </x:c>
      <x:c r="N46" s="29"/>
      <x:c r="O46" s="29"/>
      <x:c r="P46" s="57" t="n">
        <x:v>180</x:v>
      </x:c>
      <x:c r="Q46" s="57" t="n">
        <x:v>180</x:v>
      </x:c>
      <x:c r="R46" s="57" t="n">
        <x:v>180</x:v>
      </x:c>
      <x:c r="S46" s="57" t="n">
        <x:v>120</x:v>
      </x:c>
      <x:c r="T46" s="57" t="n">
        <x:v>350</x:v>
      </x:c>
      <x:c r="U46" s="52" t="n">
        <x:f>ROUND(J46*P46,2)</x:f>
        <x:v>92445.65</x:v>
      </x:c>
      <x:c r="V46" s="52" t="n">
        <x:f>ROUND(J46*S46,2)</x:f>
        <x:v>61630.43</x:v>
      </x:c>
      <x:c r="W46" s="52" t="n">
        <x:f>ROUND(J46*T46,2)</x:f>
        <x:v>179755.43</x:v>
      </x:c>
      <x:c r="X46" s="53" t="n">
        <x:v>3</x:v>
      </x:c>
      <x:c r="Y46" s="59" t="str">
        <x:v>SRC-001, SRC-002, SRC-003, SRC-032, SRC-034, SRC-035, SRC-036</x:v>
      </x:c>
      <x:c r="Z46" s="59" t="str">
        <x:v>需正式询价；当前值仅作10 OD等效预算代理</x:v>
      </x:c>
      <x:c r="AA46" s="59" t="str">
        <x:v>正反义探针设计/H6；核心流程2×PANDA Mix 500 μL×1000 nM</x:v>
      </x:c>
      <x:c r="AB46" s="59" t="str">
        <x:v>每盒H6=500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7">
      <x:c r="A47" t="str">
        <x:v>BOM-042</x:v>
      </x:c>
      <x:c r="B47" t="str">
        <x:v>寡核苷酸</x:v>
      </x:c>
      <x:c r="C47" t="str">
        <x:v>PANDA辅助链</x:v>
      </x:c>
      <x:c r="D47" t="str">
        <x:v>H7辅助链（20 nt，无修饰）</x:v>
      </x:c>
      <x:c r="E47" s="12" t="str">
        <x:v>5′-TTGAACAGTTGTCTGGATCC-3′；20 nt；Tm 54.1℃；无荧光/淬灭修饰；HPLC纯化按论文材料方法建模</x:v>
      </x:c>
      <x:c r="F47" t="str">
        <x:v>10 OD等效批</x:v>
      </x:c>
      <x:c r="G47" s="49" t="n">
        <x:v>100</x:v>
      </x:c>
      <x:c r="H47" s="49" t="n">
        <x:v>500</x:v>
      </x:c>
      <x:c r="I47" s="49" t="n">
        <x:v>2000</x:v>
      </x:c>
      <x:c r="J47" s="50" t="n">
        <x:f>IF('02_假设与情景'!$B$5="S1",G47,IF('02_假设与情景'!$B$5="S2",H47,I47))/'02_假设与情景'!$B$8*(1+'02_假设与情景'!$B$9)</x:f>
        <x:v>570.6521739130435</x:v>
      </x:c>
      <x:c r="K47" s="56" t="n">
        <x:v>180</x:v>
      </x:c>
      <x:c r="L47" s="29" t="str">
        <x:v>CNY</x:v>
      </x:c>
      <x:c r="M47" s="29" t="str">
        <x:v>公开普通引物锚点与内部10 OD代理；HPLC、税费、运费、MOQ和交付边界未统一，正式RFQ复核</x:v>
      </x:c>
      <x:c r="N47" s="29"/>
      <x:c r="O47" s="29"/>
      <x:c r="P47" s="57" t="n">
        <x:v>180</x:v>
      </x:c>
      <x:c r="Q47" s="57" t="n">
        <x:v>180</x:v>
      </x:c>
      <x:c r="R47" s="57" t="n">
        <x:v>180</x:v>
      </x:c>
      <x:c r="S47" s="57" t="n">
        <x:v>120</x:v>
      </x:c>
      <x:c r="T47" s="57" t="n">
        <x:v>350</x:v>
      </x:c>
      <x:c r="U47" s="52" t="n">
        <x:f>ROUND(J47*P47,2)</x:f>
        <x:v>102717.39</x:v>
      </x:c>
      <x:c r="V47" s="52" t="n">
        <x:f>ROUND(J47*S47,2)</x:f>
        <x:v>68478.26</x:v>
      </x:c>
      <x:c r="W47" s="52" t="n">
        <x:f>ROUND(J47*T47,2)</x:f>
        <x:v>199728.26</x:v>
      </x:c>
      <x:c r="X47" s="53" t="n">
        <x:v>3</x:v>
      </x:c>
      <x:c r="Y47" s="59" t="str">
        <x:v>SRC-001, SRC-002, SRC-003, SRC-032, SRC-034, SRC-035, SRC-036</x:v>
      </x:c>
      <x:c r="Z47" s="59" t="str">
        <x:v>需正式询价；当前值仅作10 OD等效预算代理</x:v>
      </x:c>
      <x:c r="AA47" s="59" t="str">
        <x:v>正反义探针设计/H7；核心流程2×PANDA Mix 500 μL×1000 nM</x:v>
      </x:c>
      <x:c r="AB47" s="59" t="str">
        <x:v>每盒H7=500 μL×1000 nM=0.5 nmol；1000 nM为核心流程2×PANDA Mix库存浓度，名义1:1稀释对应论文500 nM最终反应浓度，实际加样总体积须在批记录确认；用于结合扩增子、防止复性并暴露Tc反应位点；方向按设计文档转换</x:v>
      </x:c>
    </x:row>
    <x:row r="48" ht="62" customHeight="1">
      <x:c r="A48" t="str">
        <x:v>BOM-043</x:v>
      </x:c>
      <x:c r="B48" t="str">
        <x:v>缓冲盐与稳定剂</x:v>
      </x:c>
      <x:c r="C48" t="str">
        <x:v>Tween-20</x:v>
      </x:c>
      <x:c r="D48" t="str">
        <x:v>Tween-20分子生物学级</x:v>
      </x:c>
      <x:c r="E48" s="12" t="str">
        <x:v>核心产品配方：PANDA Mix 0.02% + CD Mix 0.03%；按液体体积计</x:v>
      </x:c>
      <x:c r="F48" t="str">
        <x:v>L</x:v>
      </x:c>
      <x:c r="G48" s="49" t="n">
        <x:v>0.0025</x:v>
      </x:c>
      <x:c r="H48" s="49" t="n">
        <x:v>0.0125</x:v>
      </x:c>
      <x:c r="I48" s="49" t="n">
        <x:v>0.05</x:v>
      </x:c>
      <x:c r="J48" s="50" t="n">
        <x:f>IF('02_假设与情景'!$B$5="S1",G48,IF('02_假设与情景'!$B$5="S2",H48,I48))/'02_假设与情景'!$B$8*(1+'02_假设与情景'!$B$9)</x:f>
        <x:v>0.014266304347826088</x:v>
      </x:c>
      <x:c r="K48" s="56" t="n">
        <x:v>950</x:v>
      </x:c>
      <x:c r="L48" s="29" t="str">
        <x:v>CNY</x:v>
      </x:c>
      <x:c r="M48" s="29" t="str">
        <x:v>按含税到厂预算口径归一化；规格、包装和渠道需RFQ复核</x:v>
      </x:c>
      <x:c r="N48" s="29"/>
      <x:c r="O48" s="29"/>
      <x:c r="P48" s="57" t="n">
        <x:v>950</x:v>
      </x:c>
      <x:c r="Q48" s="57" t="n">
        <x:v>950</x:v>
      </x:c>
      <x:c r="R48" s="57" t="n">
        <x:v>920</x:v>
      </x:c>
      <x:c r="S48" s="57" t="n">
        <x:v>400</x:v>
      </x:c>
      <x:c r="T48" s="57" t="n">
        <x:v>2500</x:v>
      </x:c>
      <x:c r="U48" s="52" t="n">
        <x:f>ROUND(J48*P48,2)</x:f>
        <x:v>13.55</x:v>
      </x:c>
      <x:c r="V48" s="52" t="n">
        <x:f>ROUND(J48*S48,2)</x:f>
        <x:v>5.71</x:v>
      </x:c>
      <x:c r="W48" s="52" t="n">
        <x:f>ROUND(J48*T48,2)</x:f>
        <x:v>35.67</x:v>
      </x:c>
      <x:c r="X48" s="53" t="n">
        <x:v>4</x:v>
      </x:c>
      <x:c r="Y48" s="59" t="str">
        <x:v>SRC-009, SRC-010, SRC-011, SRC-029, SRC-031, SRC-034, SRC-035</x:v>
      </x:c>
      <x:c r="Z48" s="59" t="str">
        <x:v>公开规格锚点；正式采购需确认低荧光/低核酸酶、COA、税运和MOQ</x:v>
      </x:c>
      <x:c r="AA48" s="59" t="str">
        <x:v>核心流程/PANDA 0.02% Tween-20、CD 0.03% Tween-20；论文研究缓冲体系0.5% Tween-20</x:v>
      </x:c>
      <x:c r="AB48" s="59" t="str">
        <x:v>配方反推约0.25 μL/盒。核心流程0.02%/0.03%为产品预混液库存配方，论文0.5%为研究反应及CP制备缓冲体系，不能按同一口径互换；正式放大须验证稀释后实际Tween-20浓度、荧光本底及动力学。采购量仍受最小包装和保存期主导</x:v>
      </x:c>
    </x:row>
    <x:row r="49">
      <x:c r="A49" s="46" t="str">
        <x:v>BOM 总计</x:v>
      </x:c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8" t="n">
        <x:f>ROUND(SUM(U6:U48),2)</x:f>
        <x:v>7347164.2</x:v>
      </x:c>
      <x:c r="V49" s="48" t="n">
        <x:f>ROUND(SUM(V6:V48),2)</x:f>
        <x:v>4465266.55</x:v>
      </x:c>
      <x:c r="W49" s="48" t="n">
        <x:f>ROUND(SUM(W6:W48),2)</x:f>
        <x:v>13871239.48</x:v>
      </x:c>
      <x:c r="X49" s="46"/>
      <x:c r="Y49" s="46"/>
      <x:c r="Z49" s="46"/>
      <x:c r="AA49" s="46"/>
      <x:c r="AB49" s="46"/>
    </x:row>
  </x:sheetData>
  <x:mergeCells>
    <x:mergeCell ref="A1:AB1"/>
    <x:mergeCell ref="A2:AB2"/>
    <x:mergeCell ref="A49:T49"/>
  </x:mergeCells>
  <x:conditionalFormatting sqref="Z6:Z48">
    <x:cfRule type="containsText" dxfId="3" priority="1" operator="containsText" text="需正式询价"/>
  </x:conditionalFormatting>
  <x:conditionalFormatting sqref="X6:X48">
    <x:cfRule type="colorScale" priority="2">
      <x:colorScale>
        <x:cfvo type="min"/>
        <x:cfvo type="percentile" val="50"/>
        <x:cfvo type="max"/>
        <x:color rgb="FFF8BBD0"/>
        <x:color rgb="FFFFF9C4"/>
        <x:color rgb="FFC8E6C9"/>
      </x:colorScale>
    </x:cfRule>
  </x:conditionalFormatting>
  <x:pageMargins left="0.7" right="0.7" top="0.75" bottom="0.75" header="0.3" footer="0.3"/>
  <x:legacyDrawing xmlns:r="http://schemas.openxmlformats.org/officeDocument/2006/relationships" r:id="Rff04637423374d31"/>
  <x:tableParts count="1">
    <x:tablePart xmlns:r="http://schemas.openxmlformats.org/officeDocument/2006/relationships" r:id="R49011f3f05b041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34" hidden="0" customWidth="1"/>
    <x:col min="5" max="5" width="24" hidden="0" customWidth="1"/>
    <x:col min="6" max="6" width="14" hidden="0" customWidth="1"/>
    <x:col min="7" max="7" width="14" hidden="0" customWidth="1"/>
    <x:col min="8" max="8" width="10" hidden="0" customWidth="1"/>
    <x:col min="9" max="9" width="9" hidden="0" customWidth="1"/>
    <x:col min="10" max="10" width="10" hidden="0" customWidth="1"/>
    <x:col min="11" max="11" width="9" hidden="0" customWidth="1"/>
    <x:col min="12" max="12" width="9" hidden="0" customWidth="1"/>
    <x:col min="13" max="13" width="9" hidden="0" customWidth="1"/>
    <x:col min="14" max="14" width="13" hidden="0" customWidth="1"/>
    <x:col min="15" max="15" width="34" hidden="0" customWidth="1"/>
    <x:col min="16" max="16" width="11" hidden="0" customWidth="1"/>
    <x:col min="17" max="17" width="18" hidden="0" customWidth="1"/>
    <x:col min="18" max="18" width="22" hidden="0" customWidth="1"/>
    <x:col min="19" max="19" width="34" hidden="0" customWidth="1"/>
  </x:cols>
  <x:sheetData>
    <x:row r="1" ht="30" customHeight="1">
      <x:c r="A1" s="3" t="str">
        <x:v>替代品价格-品质-兼容性矩阵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价格较低不能绕过质量/兼容性门槛；关键生物原料需小试和三批一致性验证。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10" t="str">
        <x:v>候选明细与公式评分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5">
      <x:c r="A5" s="25" t="str">
        <x:v>替代ID</x:v>
      </x:c>
      <x:c r="B5" s="26" t="str">
        <x:v>项目ID</x:v>
      </x:c>
      <x:c r="C5" s="26" t="str">
        <x:v>项目</x:v>
      </x:c>
      <x:c r="D5" s="26" t="str">
        <x:v>候选产品</x:v>
      </x:c>
      <x:c r="E5" s="26" t="str">
        <x:v>品牌/型号</x:v>
      </x:c>
      <x:c r="F5" s="26" t="str">
        <x:v>基准价</x:v>
      </x:c>
      <x:c r="G5" s="26" t="str">
        <x:v>候选到厂价</x:v>
      </x:c>
      <x:c r="H5" s="26" t="str">
        <x:v>价格分</x:v>
      </x:c>
      <x:c r="I5" s="26" t="str">
        <x:v>质量</x:v>
      </x:c>
      <x:c r="J5" s="26" t="str">
        <x:v>兼容性</x:v>
      </x:c>
      <x:c r="K5" s="26" t="str">
        <x:v>供应</x:v>
      </x:c>
      <x:c r="L5" s="26" t="str">
        <x:v>服务</x:v>
      </x:c>
      <x:c r="M5" s="26" t="str">
        <x:v>证据</x:v>
      </x:c>
      <x:c r="N5" s="26" t="str">
        <x:v>门槛</x:v>
      </x:c>
      <x:c r="O5" s="26" t="str">
        <x:v>切换成本</x:v>
      </x:c>
      <x:c r="P5" s="26" t="str">
        <x:v>综合分</x:v>
      </x:c>
      <x:c r="Q5" s="26" t="str">
        <x:v>建议</x:v>
      </x:c>
      <x:c r="R5" s="26" t="str">
        <x:v>来源ID</x:v>
      </x:c>
      <x:c r="S5" s="27" t="str">
        <x:v>评估理由</x:v>
      </x:c>
    </x:row>
    <x:row r="6">
      <x:c r="A6" t="str">
        <x:v>ALT-001</x:v>
      </x:c>
      <x:c r="B6" t="str">
        <x:v>CAPEX-001</x:v>
      </x:c>
      <x:c r="C6" t="str">
        <x:v>项目可行性、URS与概念设计</x:v>
      </x:c>
      <x:c r="D6" t="str">
        <x:v>成本优选：同规格国产合规供应商双询价</x:v>
      </x:c>
      <x:c r="E6" t="str">
        <x:v>国产/本地供应链</x:v>
      </x:c>
      <x:c r="F6" s="51" t="n">
        <x:v>250000</x:v>
      </x:c>
      <x:c r="G6" s="51" t="n">
        <x:v>212500</x:v>
      </x:c>
      <x:c r="H6" s="60" t="n">
        <x:f>IF(G6=0,0,MIN(10,10*F6/G6))</x:f>
        <x:v>10</x:v>
      </x:c>
      <x:c r="I6" s="53" t="n">
        <x:v>7</x:v>
      </x:c>
      <x:c r="J6" s="53" t="n">
        <x:v>8</x:v>
      </x:c>
      <x:c r="K6" s="53" t="n">
        <x:v>8</x:v>
      </x:c>
      <x:c r="L6" s="53" t="n">
        <x:v>6</x:v>
      </x:c>
      <x:c r="M6" s="53" t="n">
        <x:v>3</x:v>
      </x:c>
      <x:c r="N6" s="53" t="str">
        <x:v>PASS</x:v>
      </x:c>
      <x:c r="O6" s="62" t="str">
        <x:v>需核对规格、税费、安装和售后边界</x:v>
      </x:c>
      <x:c r="P6" s="63" t="n">
        <x:f>IF(N6="PASS",H6*'02_假设与情景'!$H$6+I6*'02_假设与情景'!$H$7+J6*'02_假设与情景'!$H$8+K6*'02_假设与情景'!$H$9+L6*'02_假设与情景'!$H$10+M6*'02_假设与情景'!$H$11,0)</x:f>
        <x:v>7.6499999999999995</x:v>
      </x:c>
      <x:c r="Q6" s="64" t="str">
        <x:f>IF(N6&lt;&gt;"PASS","不推荐-需再验证",IF(P6&gt;=8,"优先候选",IF(P6&gt;=7,"可询价","备选")))</x:f>
        <x:v>可询价</x:v>
      </x:c>
      <x:c r="R6" s="12" t="str">
        <x:v>SRC-031</x:v>
      </x:c>
      <x:c r="S6" s="12" t="str">
        <x:v>进入同规格询价和总拥有成本比较</x:v>
      </x:c>
    </x:row>
    <x:row r="7">
      <x:c r="A7" t="str">
        <x:v>ALT-002</x:v>
      </x:c>
      <x:c r="B7" t="str">
        <x:v>CAPEX-001</x:v>
      </x:c>
      <x:c r="C7" t="str">
        <x:v>项目可行性、URS与概念设计</x:v>
      </x:c>
      <x:c r="D7" t="str">
        <x:v>品质优选：头部品牌全服务包</x:v>
      </x:c>
      <x:c r="E7" t="str">
        <x:v>头部品牌/专业服务商</x:v>
      </x:c>
      <x:c r="F7" s="51" t="n">
        <x:v>250000</x:v>
      </x:c>
      <x:c r="G7" s="51" t="n">
        <x:v>295000</x:v>
      </x:c>
      <x:c r="H7" s="60" t="n">
        <x:f>IF(G7=0,0,MIN(10,10*F7/G7))</x:f>
        <x:v>8.474576271186441</x:v>
      </x:c>
      <x:c r="I7" s="53" t="n">
        <x:v>9</x:v>
      </x:c>
      <x:c r="J7" s="53" t="n">
        <x:v>9</x:v>
      </x:c>
      <x:c r="K7" s="53" t="n">
        <x:v>7</x:v>
      </x:c>
      <x:c r="L7" s="53" t="n">
        <x:v>9</x:v>
      </x:c>
      <x:c r="M7" s="53" t="n">
        <x:v>3</x:v>
      </x:c>
      <x:c r="N7" s="53" t="str">
        <x:v>PASS</x:v>
      </x:c>
      <x:c r="O7" s="62" t="str">
        <x:v>需核对规格、税费、安装和售后边界</x:v>
      </x:c>
      <x:c r="P7" s="63" t="n">
        <x:f>IF(N7="PASS",H7*'02_假设与情景'!$H$6+I7*'02_假设与情景'!$H$7+J7*'02_假设与情景'!$H$8+K7*'02_假设与情景'!$H$9+L7*'02_假设与情景'!$H$10+M7*'02_假设与情景'!$H$11,0)</x:f>
        <x:v>8.042372881355933</x:v>
      </x:c>
      <x:c r="Q7" s="64" t="str">
        <x:f>IF(N7&lt;&gt;"PASS","不推荐-需再验证",IF(P7&gt;=8,"优先候选",IF(P7&gt;=7,"可询价","备选")))</x:f>
        <x:v>优先候选</x:v>
      </x:c>
      <x:c r="R7" s="12" t="str">
        <x:v>SRC-031</x:v>
      </x:c>
      <x:c r="S7" s="12" t="str">
        <x:v>进入同规格询价和总拥有成本比较</x:v>
      </x:c>
    </x:row>
    <x:row r="8">
      <x:c r="A8" t="str">
        <x:v>ALT-003</x:v>
      </x:c>
      <x:c r="B8" t="str">
        <x:v>CAPEX-002</x:v>
      </x:c>
      <x:c r="C8" t="str">
        <x:v>租赁厂房基础装修改造</x:v>
      </x:c>
      <x:c r="D8" t="str">
        <x:v>成本优选：同规格国产合规供应商双询价</x:v>
      </x:c>
      <x:c r="E8" t="str">
        <x:v>国产/本地供应链</x:v>
      </x:c>
      <x:c r="F8" s="51" t="n">
        <x:v>800</x:v>
      </x:c>
      <x:c r="G8" s="51" t="n">
        <x:v>680</x:v>
      </x:c>
      <x:c r="H8" s="60" t="n">
        <x:f>IF(G8=0,0,MIN(10,10*F8/G8))</x:f>
        <x:v>10</x:v>
      </x:c>
      <x:c r="I8" s="53" t="n">
        <x:v>7</x:v>
      </x:c>
      <x:c r="J8" s="53" t="n">
        <x:v>8</x:v>
      </x:c>
      <x:c r="K8" s="53" t="n">
        <x:v>8</x:v>
      </x:c>
      <x:c r="L8" s="53" t="n">
        <x:v>6</x:v>
      </x:c>
      <x:c r="M8" s="53" t="n">
        <x:v>4</x:v>
      </x:c>
      <x:c r="N8" s="53" t="str">
        <x:v>PASS</x:v>
      </x:c>
      <x:c r="O8" s="62" t="str">
        <x:v>需核对规格、税费、安装和售后边界</x:v>
      </x:c>
      <x:c r="P8" s="63" t="n">
        <x:f>IF(N8="PASS",H8*'02_假设与情景'!$H$6+I8*'02_假设与情景'!$H$7+J8*'02_假设与情景'!$H$8+K8*'02_假设与情景'!$H$9+L8*'02_假设与情景'!$H$10+M8*'02_假设与情景'!$H$11,0)</x:f>
        <x:v>7.75</x:v>
      </x:c>
      <x:c r="Q8" s="64" t="str">
        <x:f>IF(N8&lt;&gt;"PASS","不推荐-需再验证",IF(P8&gt;=8,"优先候选",IF(P8&gt;=7,"可询价","备选")))</x:f>
        <x:v>可询价</x:v>
      </x:c>
      <x:c r="R8" s="12" t="str">
        <x:v>SRC-015, SRC-031</x:v>
      </x:c>
      <x:c r="S8" s="12" t="str">
        <x:v>进入同规格询价和总拥有成本比较</x:v>
      </x:c>
    </x:row>
    <x:row r="9">
      <x:c r="A9" t="str">
        <x:v>ALT-004</x:v>
      </x:c>
      <x:c r="B9" t="str">
        <x:v>CAPEX-002</x:v>
      </x:c>
      <x:c r="C9" t="str">
        <x:v>租赁厂房基础装修改造</x:v>
      </x:c>
      <x:c r="D9" t="str">
        <x:v>品质优选：头部品牌全服务包</x:v>
      </x:c>
      <x:c r="E9" t="str">
        <x:v>头部品牌/专业服务商</x:v>
      </x:c>
      <x:c r="F9" s="51" t="n">
        <x:v>800</x:v>
      </x:c>
      <x:c r="G9" s="51" t="n">
        <x:v>944</x:v>
      </x:c>
      <x:c r="H9" s="60" t="n">
        <x:f>IF(G9=0,0,MIN(10,10*F9/G9))</x:f>
        <x:v>8.474576271186441</x:v>
      </x:c>
      <x:c r="I9" s="53" t="n">
        <x:v>9</x:v>
      </x:c>
      <x:c r="J9" s="53" t="n">
        <x:v>9</x:v>
      </x:c>
      <x:c r="K9" s="53" t="n">
        <x:v>7</x:v>
      </x:c>
      <x:c r="L9" s="53" t="n">
        <x:v>9</x:v>
      </x:c>
      <x:c r="M9" s="53" t="n">
        <x:v>4</x:v>
      </x:c>
      <x:c r="N9" s="53" t="str">
        <x:v>PASS</x:v>
      </x:c>
      <x:c r="O9" s="62" t="str">
        <x:v>需核对规格、税费、安装和售后边界</x:v>
      </x:c>
      <x:c r="P9" s="63" t="n">
        <x:f>IF(N9="PASS",H9*'02_假设与情景'!$H$6+I9*'02_假设与情景'!$H$7+J9*'02_假设与情景'!$H$8+K9*'02_假设与情景'!$H$9+L9*'02_假设与情景'!$H$10+M9*'02_假设与情景'!$H$11,0)</x:f>
        <x:v>8.142372881355932</x:v>
      </x:c>
      <x:c r="Q9" s="64" t="str">
        <x:f>IF(N9&lt;&gt;"PASS","不推荐-需再验证",IF(P9&gt;=8,"优先候选",IF(P9&gt;=7,"可询价","备选")))</x:f>
        <x:v>优先候选</x:v>
      </x:c>
      <x:c r="R9" s="12" t="str">
        <x:v>SRC-015, SRC-031</x:v>
      </x:c>
      <x:c r="S9" s="12" t="str">
        <x:v>进入同规格询价和总拥有成本比较</x:v>
      </x:c>
    </x:row>
    <x:row r="10">
      <x:c r="A10" t="str">
        <x:v>ALT-005</x:v>
      </x:c>
      <x:c r="B10" t="str">
        <x:v>CAPEX-003</x:v>
      </x:c>
      <x:c r="C10" t="str">
        <x:v>PCR Mix ISO7配制间</x:v>
      </x:c>
      <x:c r="D10" t="str">
        <x:v>成本优选：同规格国产合规供应商双询价</x:v>
      </x:c>
      <x:c r="E10" t="str">
        <x:v>国产/本地供应链</x:v>
      </x:c>
      <x:c r="F10" s="51" t="n">
        <x:v>1600</x:v>
      </x:c>
      <x:c r="G10" s="51" t="n">
        <x:v>1360</x:v>
      </x:c>
      <x:c r="H10" s="60" t="n">
        <x:f>IF(G10=0,0,MIN(10,10*F10/G10))</x:f>
        <x:v>10</x:v>
      </x:c>
      <x:c r="I10" s="53" t="n">
        <x:v>7</x:v>
      </x:c>
      <x:c r="J10" s="53" t="n">
        <x:v>8</x:v>
      </x:c>
      <x:c r="K10" s="53" t="n">
        <x:v>8</x:v>
      </x:c>
      <x:c r="L10" s="53" t="n">
        <x:v>6</x:v>
      </x:c>
      <x:c r="M10" s="53" t="n">
        <x:v>4</x:v>
      </x:c>
      <x:c r="N10" s="53" t="str">
        <x:v>PASS</x:v>
      </x:c>
      <x:c r="O10" s="62" t="str">
        <x:v>需核对规格、税费、安装和售后边界</x:v>
      </x:c>
      <x:c r="P10" s="63" t="n">
        <x:f>IF(N10="PASS",H10*'02_假设与情景'!$H$6+I10*'02_假设与情景'!$H$7+J10*'02_假设与情景'!$H$8+K10*'02_假设与情景'!$H$9+L10*'02_假设与情景'!$H$10+M10*'02_假设与情景'!$H$11,0)</x:f>
        <x:v>7.75</x:v>
      </x:c>
      <x:c r="Q10" s="64" t="str">
        <x:f>IF(N10&lt;&gt;"PASS","不推荐-需再验证",IF(P10&gt;=8,"优先候选",IF(P10&gt;=7,"可询价","备选")))</x:f>
        <x:v>可询价</x:v>
      </x:c>
      <x:c r="R10" s="12" t="str">
        <x:v>SRC-018</x:v>
      </x:c>
      <x:c r="S10" s="12" t="str">
        <x:v>进入同规格询价和总拥有成本比较</x:v>
      </x:c>
    </x:row>
    <x:row r="11">
      <x:c r="A11" t="str">
        <x:v>ALT-006</x:v>
      </x:c>
      <x:c r="B11" t="str">
        <x:v>CAPEX-003</x:v>
      </x:c>
      <x:c r="C11" t="str">
        <x:v>PCR Mix ISO7配制间</x:v>
      </x:c>
      <x:c r="D11" t="str">
        <x:v>品质优选：头部品牌全服务包</x:v>
      </x:c>
      <x:c r="E11" t="str">
        <x:v>头部品牌/专业服务商</x:v>
      </x:c>
      <x:c r="F11" s="51" t="n">
        <x:v>1600</x:v>
      </x:c>
      <x:c r="G11" s="51" t="n">
        <x:v>1888</x:v>
      </x:c>
      <x:c r="H11" s="60" t="n">
        <x:f>IF(G11=0,0,MIN(10,10*F11/G11))</x:f>
        <x:v>8.474576271186441</x:v>
      </x:c>
      <x:c r="I11" s="53" t="n">
        <x:v>9</x:v>
      </x:c>
      <x:c r="J11" s="53" t="n">
        <x:v>9</x:v>
      </x:c>
      <x:c r="K11" s="53" t="n">
        <x:v>7</x:v>
      </x:c>
      <x:c r="L11" s="53" t="n">
        <x:v>9</x:v>
      </x:c>
      <x:c r="M11" s="53" t="n">
        <x:v>4</x:v>
      </x:c>
      <x:c r="N11" s="53" t="str">
        <x:v>PASS</x:v>
      </x:c>
      <x:c r="O11" s="62" t="str">
        <x:v>需核对规格、税费、安装和售后边界</x:v>
      </x:c>
      <x:c r="P11" s="63" t="n">
        <x:f>IF(N11="PASS",H11*'02_假设与情景'!$H$6+I11*'02_假设与情景'!$H$7+J11*'02_假设与情景'!$H$8+K11*'02_假设与情景'!$H$9+L11*'02_假设与情景'!$H$10+M11*'02_假设与情景'!$H$11,0)</x:f>
        <x:v>8.142372881355932</x:v>
      </x:c>
      <x:c r="Q11" s="64" t="str">
        <x:f>IF(N11&lt;&gt;"PASS","不推荐-需再验证",IF(P11&gt;=8,"优先候选",IF(P11&gt;=7,"可询价","备选")))</x:f>
        <x:v>优先候选</x:v>
      </x:c>
      <x:c r="R11" s="12" t="str">
        <x:v>SRC-018</x:v>
      </x:c>
      <x:c r="S11" s="12" t="str">
        <x:v>进入同规格询价和总拥有成本比较</x:v>
      </x:c>
    </x:row>
    <x:row r="12">
      <x:c r="A12" t="str">
        <x:v>ALT-007</x:v>
      </x:c>
      <x:c r="B12" t="str">
        <x:v>CAPEX-004</x:v>
      </x:c>
      <x:c r="C12" t="str">
        <x:v>黄光CD-probe ISO7配制间</x:v>
      </x:c>
      <x:c r="D12" t="str">
        <x:v>成本优选：同规格国产合规供应商双询价</x:v>
      </x:c>
      <x:c r="E12" t="str">
        <x:v>国产/本地供应链</x:v>
      </x:c>
      <x:c r="F12" s="51" t="n">
        <x:v>1800</x:v>
      </x:c>
      <x:c r="G12" s="51" t="n">
        <x:v>1530</x:v>
      </x:c>
      <x:c r="H12" s="60" t="n">
        <x:f>IF(G12=0,0,MIN(10,10*F12/G12))</x:f>
        <x:v>10</x:v>
      </x:c>
      <x:c r="I12" s="53" t="n">
        <x:v>7</x:v>
      </x:c>
      <x:c r="J12" s="53" t="n">
        <x:v>8</x:v>
      </x:c>
      <x:c r="K12" s="53" t="n">
        <x:v>8</x:v>
      </x:c>
      <x:c r="L12" s="53" t="n">
        <x:v>6</x:v>
      </x:c>
      <x:c r="M12" s="53" t="n">
        <x:v>4</x:v>
      </x:c>
      <x:c r="N12" s="53" t="str">
        <x:v>PASS</x:v>
      </x:c>
      <x:c r="O12" s="62" t="str">
        <x:v>需核对规格、税费、安装和售后边界</x:v>
      </x:c>
      <x:c r="P12" s="63" t="n">
        <x:f>IF(N12="PASS",H12*'02_假设与情景'!$H$6+I12*'02_假设与情景'!$H$7+J12*'02_假设与情景'!$H$8+K12*'02_假设与情景'!$H$9+L12*'02_假设与情景'!$H$10+M12*'02_假设与情景'!$H$11,0)</x:f>
        <x:v>7.75</x:v>
      </x:c>
      <x:c r="Q12" s="64" t="str">
        <x:f>IF(N12&lt;&gt;"PASS","不推荐-需再验证",IF(P12&gt;=8,"优先候选",IF(P12&gt;=7,"可询价","备选")))</x:f>
        <x:v>可询价</x:v>
      </x:c>
      <x:c r="R12" s="12" t="str">
        <x:v>SRC-018</x:v>
      </x:c>
      <x:c r="S12" s="12" t="str">
        <x:v>进入同规格询价和总拥有成本比较</x:v>
      </x:c>
    </x:row>
    <x:row r="13">
      <x:c r="A13" t="str">
        <x:v>ALT-008</x:v>
      </x:c>
      <x:c r="B13" t="str">
        <x:v>CAPEX-004</x:v>
      </x:c>
      <x:c r="C13" t="str">
        <x:v>黄光CD-probe ISO7配制间</x:v>
      </x:c>
      <x:c r="D13" t="str">
        <x:v>品质优选：头部品牌全服务包</x:v>
      </x:c>
      <x:c r="E13" t="str">
        <x:v>头部品牌/专业服务商</x:v>
      </x:c>
      <x:c r="F13" s="51" t="n">
        <x:v>1800</x:v>
      </x:c>
      <x:c r="G13" s="51" t="n">
        <x:v>2124</x:v>
      </x:c>
      <x:c r="H13" s="60" t="n">
        <x:f>IF(G13=0,0,MIN(10,10*F13/G13))</x:f>
        <x:v>8.474576271186441</x:v>
      </x:c>
      <x:c r="I13" s="53" t="n">
        <x:v>9</x:v>
      </x:c>
      <x:c r="J13" s="53" t="n">
        <x:v>9</x:v>
      </x:c>
      <x:c r="K13" s="53" t="n">
        <x:v>7</x:v>
      </x:c>
      <x:c r="L13" s="53" t="n">
        <x:v>9</x:v>
      </x:c>
      <x:c r="M13" s="53" t="n">
        <x:v>4</x:v>
      </x:c>
      <x:c r="N13" s="53" t="str">
        <x:v>PASS</x:v>
      </x:c>
      <x:c r="O13" s="62" t="str">
        <x:v>需核对规格、税费、安装和售后边界</x:v>
      </x:c>
      <x:c r="P13" s="63" t="n">
        <x:f>IF(N13="PASS",H13*'02_假设与情景'!$H$6+I13*'02_假设与情景'!$H$7+J13*'02_假设与情景'!$H$8+K13*'02_假设与情景'!$H$9+L13*'02_假设与情景'!$H$10+M13*'02_假设与情景'!$H$11,0)</x:f>
        <x:v>8.142372881355932</x:v>
      </x:c>
      <x:c r="Q13" s="64" t="str">
        <x:f>IF(N13&lt;&gt;"PASS","不推荐-需再验证",IF(P13&gt;=8,"优先候选",IF(P13&gt;=7,"可询价","备选")))</x:f>
        <x:v>优先候选</x:v>
      </x:c>
      <x:c r="R13" s="12" t="str">
        <x:v>SRC-018</x:v>
      </x:c>
      <x:c r="S13" s="12" t="str">
        <x:v>进入同规格询价和总拥有成本比较</x:v>
      </x:c>
    </x:row>
    <x:row r="14">
      <x:c r="A14" t="str">
        <x:v>ALT-009</x:v>
      </x:c>
      <x:c r="B14" t="str">
        <x:v>CAPEX-005</x:v>
      </x:c>
      <x:c r="C14" t="str">
        <x:v>质粒对照负压配制间</x:v>
      </x:c>
      <x:c r="D14" t="str">
        <x:v>成本优选：同规格国产合规供应商双询价</x:v>
      </x:c>
      <x:c r="E14" t="str">
        <x:v>国产/本地供应链</x:v>
      </x:c>
      <x:c r="F14" s="51" t="n">
        <x:v>2200</x:v>
      </x:c>
      <x:c r="G14" s="51" t="n">
        <x:v>1870</x:v>
      </x:c>
      <x:c r="H14" s="60" t="n">
        <x:f>IF(G14=0,0,MIN(10,10*F14/G14))</x:f>
        <x:v>10</x:v>
      </x:c>
      <x:c r="I14" s="53" t="n">
        <x:v>7</x:v>
      </x:c>
      <x:c r="J14" s="53" t="n">
        <x:v>8</x:v>
      </x:c>
      <x:c r="K14" s="53" t="n">
        <x:v>8</x:v>
      </x:c>
      <x:c r="L14" s="53" t="n">
        <x:v>6</x:v>
      </x:c>
      <x:c r="M14" s="53" t="n">
        <x:v>4</x:v>
      </x:c>
      <x:c r="N14" s="53" t="str">
        <x:v>PASS</x:v>
      </x:c>
      <x:c r="O14" s="62" t="str">
        <x:v>需核对规格、税费、安装和售后边界</x:v>
      </x:c>
      <x:c r="P14" s="63" t="n">
        <x:f>IF(N14="PASS",H14*'02_假设与情景'!$H$6+I14*'02_假设与情景'!$H$7+J14*'02_假设与情景'!$H$8+K14*'02_假设与情景'!$H$9+L14*'02_假设与情景'!$H$10+M14*'02_假设与情景'!$H$11,0)</x:f>
        <x:v>7.75</x:v>
      </x:c>
      <x:c r="Q14" s="64" t="str">
        <x:f>IF(N14&lt;&gt;"PASS","不推荐-需再验证",IF(P14&gt;=8,"优先候选",IF(P14&gt;=7,"可询价","备选")))</x:f>
        <x:v>可询价</x:v>
      </x:c>
      <x:c r="R14" s="12" t="str">
        <x:v>SRC-018</x:v>
      </x:c>
      <x:c r="S14" s="12" t="str">
        <x:v>进入同规格询价和总拥有成本比较</x:v>
      </x:c>
    </x:row>
    <x:row r="15">
      <x:c r="A15" t="str">
        <x:v>ALT-010</x:v>
      </x:c>
      <x:c r="B15" t="str">
        <x:v>CAPEX-005</x:v>
      </x:c>
      <x:c r="C15" t="str">
        <x:v>质粒对照负压配制间</x:v>
      </x:c>
      <x:c r="D15" t="str">
        <x:v>品质优选：头部品牌全服务包</x:v>
      </x:c>
      <x:c r="E15" t="str">
        <x:v>头部品牌/专业服务商</x:v>
      </x:c>
      <x:c r="F15" s="51" t="n">
        <x:v>2200</x:v>
      </x:c>
      <x:c r="G15" s="51" t="n">
        <x:v>2596</x:v>
      </x:c>
      <x:c r="H15" s="60" t="n">
        <x:f>IF(G15=0,0,MIN(10,10*F15/G15))</x:f>
        <x:v>8.474576271186441</x:v>
      </x:c>
      <x:c r="I15" s="53" t="n">
        <x:v>9</x:v>
      </x:c>
      <x:c r="J15" s="53" t="n">
        <x:v>9</x:v>
      </x:c>
      <x:c r="K15" s="53" t="n">
        <x:v>7</x:v>
      </x:c>
      <x:c r="L15" s="53" t="n">
        <x:v>9</x:v>
      </x:c>
      <x:c r="M15" s="53" t="n">
        <x:v>4</x:v>
      </x:c>
      <x:c r="N15" s="53" t="str">
        <x:v>PASS</x:v>
      </x:c>
      <x:c r="O15" s="62" t="str">
        <x:v>需核对规格、税费、安装和售后边界</x:v>
      </x:c>
      <x:c r="P15" s="63" t="n">
        <x:f>IF(N15="PASS",H15*'02_假设与情景'!$H$6+I15*'02_假设与情景'!$H$7+J15*'02_假设与情景'!$H$8+K15*'02_假设与情景'!$H$9+L15*'02_假设与情景'!$H$10+M15*'02_假设与情景'!$H$11,0)</x:f>
        <x:v>8.142372881355932</x:v>
      </x:c>
      <x:c r="Q15" s="64" t="str">
        <x:f>IF(N15&lt;&gt;"PASS","不推荐-需再验证",IF(P15&gt;=8,"优先候选",IF(P15&gt;=7,"可询价","备选")))</x:f>
        <x:v>优先候选</x:v>
      </x:c>
      <x:c r="R15" s="12" t="str">
        <x:v>SRC-018</x:v>
      </x:c>
      <x:c r="S15" s="12" t="str">
        <x:v>进入同规格询价和总拥有成本比较</x:v>
      </x:c>
    </x:row>
    <x:row r="16">
      <x:c r="A16" t="str">
        <x:v>ALT-011</x:v>
      </x:c>
      <x:c r="B16" t="str">
        <x:v>CAPEX-006</x:v>
      </x:c>
      <x:c r="C16" t="str">
        <x:v>独立分装洁净区</x:v>
      </x:c>
      <x:c r="D16" t="str">
        <x:v>成本优选：同规格国产合规供应商双询价</x:v>
      </x:c>
      <x:c r="E16" t="str">
        <x:v>国产/本地供应链</x:v>
      </x:c>
      <x:c r="F16" s="51" t="n">
        <x:v>1800</x:v>
      </x:c>
      <x:c r="G16" s="51" t="n">
        <x:v>1530</x:v>
      </x:c>
      <x:c r="H16" s="60" t="n">
        <x:f>IF(G16=0,0,MIN(10,10*F16/G16))</x:f>
        <x:v>10</x:v>
      </x:c>
      <x:c r="I16" s="53" t="n">
        <x:v>7</x:v>
      </x:c>
      <x:c r="J16" s="53" t="n">
        <x:v>8</x:v>
      </x:c>
      <x:c r="K16" s="53" t="n">
        <x:v>8</x:v>
      </x:c>
      <x:c r="L16" s="53" t="n">
        <x:v>6</x:v>
      </x:c>
      <x:c r="M16" s="53" t="n">
        <x:v>4</x:v>
      </x:c>
      <x:c r="N16" s="53" t="str">
        <x:v>PASS</x:v>
      </x:c>
      <x:c r="O16" s="62" t="str">
        <x:v>需核对规格、税费、安装和售后边界</x:v>
      </x:c>
      <x:c r="P16" s="63" t="n">
        <x:f>IF(N16="PASS",H16*'02_假设与情景'!$H$6+I16*'02_假设与情景'!$H$7+J16*'02_假设与情景'!$H$8+K16*'02_假设与情景'!$H$9+L16*'02_假设与情景'!$H$10+M16*'02_假设与情景'!$H$11,0)</x:f>
        <x:v>7.75</x:v>
      </x:c>
      <x:c r="Q16" s="64" t="str">
        <x:f>IF(N16&lt;&gt;"PASS","不推荐-需再验证",IF(P16&gt;=8,"优先候选",IF(P16&gt;=7,"可询价","备选")))</x:f>
        <x:v>可询价</x:v>
      </x:c>
      <x:c r="R16" s="12" t="str">
        <x:v>SRC-018</x:v>
      </x:c>
      <x:c r="S16" s="12" t="str">
        <x:v>进入同规格询价和总拥有成本比较</x:v>
      </x:c>
    </x:row>
    <x:row r="17">
      <x:c r="A17" t="str">
        <x:v>ALT-012</x:v>
      </x:c>
      <x:c r="B17" t="str">
        <x:v>CAPEX-006</x:v>
      </x:c>
      <x:c r="C17" t="str">
        <x:v>独立分装洁净区</x:v>
      </x:c>
      <x:c r="D17" t="str">
        <x:v>品质优选：头部品牌全服务包</x:v>
      </x:c>
      <x:c r="E17" t="str">
        <x:v>头部品牌/专业服务商</x:v>
      </x:c>
      <x:c r="F17" s="51" t="n">
        <x:v>1800</x:v>
      </x:c>
      <x:c r="G17" s="51" t="n">
        <x:v>2124</x:v>
      </x:c>
      <x:c r="H17" s="60" t="n">
        <x:f>IF(G17=0,0,MIN(10,10*F17/G17))</x:f>
        <x:v>8.474576271186441</x:v>
      </x:c>
      <x:c r="I17" s="53" t="n">
        <x:v>9</x:v>
      </x:c>
      <x:c r="J17" s="53" t="n">
        <x:v>9</x:v>
      </x:c>
      <x:c r="K17" s="53" t="n">
        <x:v>7</x:v>
      </x:c>
      <x:c r="L17" s="53" t="n">
        <x:v>9</x:v>
      </x:c>
      <x:c r="M17" s="53" t="n">
        <x:v>4</x:v>
      </x:c>
      <x:c r="N17" s="53" t="str">
        <x:v>PASS</x:v>
      </x:c>
      <x:c r="O17" s="62" t="str">
        <x:v>需核对规格、税费、安装和售后边界</x:v>
      </x:c>
      <x:c r="P17" s="63" t="n">
        <x:f>IF(N17="PASS",H17*'02_假设与情景'!$H$6+I17*'02_假设与情景'!$H$7+J17*'02_假设与情景'!$H$8+K17*'02_假设与情景'!$H$9+L17*'02_假设与情景'!$H$10+M17*'02_假设与情景'!$H$11,0)</x:f>
        <x:v>8.142372881355932</x:v>
      </x:c>
      <x:c r="Q17" s="64" t="str">
        <x:f>IF(N17&lt;&gt;"PASS","不推荐-需再验证",IF(P17&gt;=8,"优先候选",IF(P17&gt;=7,"可询价","备选")))</x:f>
        <x:v>优先候选</x:v>
      </x:c>
      <x:c r="R17" s="12" t="str">
        <x:v>SRC-018</x:v>
      </x:c>
      <x:c r="S17" s="12" t="str">
        <x:v>进入同规格询价和总拥有成本比较</x:v>
      </x:c>
    </x:row>
    <x:row r="18">
      <x:c r="A18" t="str">
        <x:v>ALT-013</x:v>
      </x:c>
      <x:c r="B18" t="str">
        <x:v>CAPEX-007</x:v>
      </x:c>
      <x:c r="C18" t="str">
        <x:v>试剂盒组装包装区</x:v>
      </x:c>
      <x:c r="D18" t="str">
        <x:v>成本优选：同规格国产合规供应商双询价</x:v>
      </x:c>
      <x:c r="E18" t="str">
        <x:v>国产/本地供应链</x:v>
      </x:c>
      <x:c r="F18" s="51" t="n">
        <x:v>1400</x:v>
      </x:c>
      <x:c r="G18" s="51" t="n">
        <x:v>1190</x:v>
      </x:c>
      <x:c r="H18" s="60" t="n">
        <x:f>IF(G18=0,0,MIN(10,10*F18/G18))</x:f>
        <x:v>10</x:v>
      </x:c>
      <x:c r="I18" s="53" t="n">
        <x:v>7</x:v>
      </x:c>
      <x:c r="J18" s="53" t="n">
        <x:v>8</x:v>
      </x:c>
      <x:c r="K18" s="53" t="n">
        <x:v>8</x:v>
      </x:c>
      <x:c r="L18" s="53" t="n">
        <x:v>6</x:v>
      </x:c>
      <x:c r="M18" s="53" t="n">
        <x:v>4</x:v>
      </x:c>
      <x:c r="N18" s="53" t="str">
        <x:v>PASS</x:v>
      </x:c>
      <x:c r="O18" s="62" t="str">
        <x:v>需核对规格、税费、安装和售后边界</x:v>
      </x:c>
      <x:c r="P18" s="63" t="n">
        <x:f>IF(N18="PASS",H18*'02_假设与情景'!$H$6+I18*'02_假设与情景'!$H$7+J18*'02_假设与情景'!$H$8+K18*'02_假设与情景'!$H$9+L18*'02_假设与情景'!$H$10+M18*'02_假设与情景'!$H$11,0)</x:f>
        <x:v>7.75</x:v>
      </x:c>
      <x:c r="Q18" s="64" t="str">
        <x:f>IF(N18&lt;&gt;"PASS","不推荐-需再验证",IF(P18&gt;=8,"优先候选",IF(P18&gt;=7,"可询价","备选")))</x:f>
        <x:v>可询价</x:v>
      </x:c>
      <x:c r="R18" s="12" t="str">
        <x:v>SRC-017</x:v>
      </x:c>
      <x:c r="S18" s="12" t="str">
        <x:v>进入同规格询价和总拥有成本比较</x:v>
      </x:c>
    </x:row>
    <x:row r="19">
      <x:c r="A19" t="str">
        <x:v>ALT-014</x:v>
      </x:c>
      <x:c r="B19" t="str">
        <x:v>CAPEX-007</x:v>
      </x:c>
      <x:c r="C19" t="str">
        <x:v>试剂盒组装包装区</x:v>
      </x:c>
      <x:c r="D19" t="str">
        <x:v>品质优选：头部品牌全服务包</x:v>
      </x:c>
      <x:c r="E19" t="str">
        <x:v>头部品牌/专业服务商</x:v>
      </x:c>
      <x:c r="F19" s="51" t="n">
        <x:v>1400</x:v>
      </x:c>
      <x:c r="G19" s="51" t="n">
        <x:v>1652</x:v>
      </x:c>
      <x:c r="H19" s="60" t="n">
        <x:f>IF(G19=0,0,MIN(10,10*F19/G19))</x:f>
        <x:v>8.474576271186441</x:v>
      </x:c>
      <x:c r="I19" s="53" t="n">
        <x:v>9</x:v>
      </x:c>
      <x:c r="J19" s="53" t="n">
        <x:v>9</x:v>
      </x:c>
      <x:c r="K19" s="53" t="n">
        <x:v>7</x:v>
      </x:c>
      <x:c r="L19" s="53" t="n">
        <x:v>9</x:v>
      </x:c>
      <x:c r="M19" s="53" t="n">
        <x:v>4</x:v>
      </x:c>
      <x:c r="N19" s="53" t="str">
        <x:v>PASS</x:v>
      </x:c>
      <x:c r="O19" s="62" t="str">
        <x:v>需核对规格、税费、安装和售后边界</x:v>
      </x:c>
      <x:c r="P19" s="63" t="n">
        <x:f>IF(N19="PASS",H19*'02_假设与情景'!$H$6+I19*'02_假设与情景'!$H$7+J19*'02_假设与情景'!$H$8+K19*'02_假设与情景'!$H$9+L19*'02_假设与情景'!$H$10+M19*'02_假设与情景'!$H$11,0)</x:f>
        <x:v>8.142372881355932</x:v>
      </x:c>
      <x:c r="Q19" s="64" t="str">
        <x:f>IF(N19&lt;&gt;"PASS","不推荐-需再验证",IF(P19&gt;=8,"优先候选",IF(P19&gt;=7,"可询价","备选")))</x:f>
        <x:v>优先候选</x:v>
      </x:c>
      <x:c r="R19" s="12" t="str">
        <x:v>SRC-017</x:v>
      </x:c>
      <x:c r="S19" s="12" t="str">
        <x:v>进入同规格询价和总拥有成本比较</x:v>
      </x:c>
    </x:row>
    <x:row r="20">
      <x:c r="A20" t="str">
        <x:v>ALT-015</x:v>
      </x:c>
      <x:c r="B20" t="str">
        <x:v>CAPEX-008</x:v>
      </x:c>
      <x:c r="C20" t="str">
        <x:v>独立检验实验室改造</x:v>
      </x:c>
      <x:c r="D20" t="str">
        <x:v>成本优选：同规格国产合规供应商双询价</x:v>
      </x:c>
      <x:c r="E20" t="str">
        <x:v>国产/本地供应链</x:v>
      </x:c>
      <x:c r="F20" s="51" t="n">
        <x:v>1200</x:v>
      </x:c>
      <x:c r="G20" s="51" t="n">
        <x:v>1020</x:v>
      </x:c>
      <x:c r="H20" s="60" t="n">
        <x:f>IF(G20=0,0,MIN(10,10*F20/G20))</x:f>
        <x:v>10</x:v>
      </x:c>
      <x:c r="I20" s="53" t="n">
        <x:v>7</x:v>
      </x:c>
      <x:c r="J20" s="53" t="n">
        <x:v>8</x:v>
      </x:c>
      <x:c r="K20" s="53" t="n">
        <x:v>8</x:v>
      </x:c>
      <x:c r="L20" s="53" t="n">
        <x:v>6</x:v>
      </x:c>
      <x:c r="M20" s="53" t="n">
        <x:v>3</x:v>
      </x:c>
      <x:c r="N20" s="53" t="str">
        <x:v>PASS</x:v>
      </x:c>
      <x:c r="O20" s="62" t="str">
        <x:v>需核对规格、税费、安装和售后边界</x:v>
      </x:c>
      <x:c r="P20" s="63" t="n">
        <x:f>IF(N20="PASS",H20*'02_假设与情景'!$H$6+I20*'02_假设与情景'!$H$7+J20*'02_假设与情景'!$H$8+K20*'02_假设与情景'!$H$9+L20*'02_假设与情景'!$H$10+M20*'02_假设与情景'!$H$11,0)</x:f>
        <x:v>7.6499999999999995</x:v>
      </x:c>
      <x:c r="Q20" s="64" t="str">
        <x:f>IF(N20&lt;&gt;"PASS","不推荐-需再验证",IF(P20&gt;=8,"优先候选",IF(P20&gt;=7,"可询价","备选")))</x:f>
        <x:v>可询价</x:v>
      </x:c>
      <x:c r="R20" s="12" t="str">
        <x:v>SRC-031</x:v>
      </x:c>
      <x:c r="S20" s="12" t="str">
        <x:v>进入同规格询价和总拥有成本比较</x:v>
      </x:c>
    </x:row>
    <x:row r="21">
      <x:c r="A21" t="str">
        <x:v>ALT-016</x:v>
      </x:c>
      <x:c r="B21" t="str">
        <x:v>CAPEX-008</x:v>
      </x:c>
      <x:c r="C21" t="str">
        <x:v>独立检验实验室改造</x:v>
      </x:c>
      <x:c r="D21" t="str">
        <x:v>品质优选：头部品牌全服务包</x:v>
      </x:c>
      <x:c r="E21" t="str">
        <x:v>头部品牌/专业服务商</x:v>
      </x:c>
      <x:c r="F21" s="51" t="n">
        <x:v>1200</x:v>
      </x:c>
      <x:c r="G21" s="51" t="n">
        <x:v>1416</x:v>
      </x:c>
      <x:c r="H21" s="60" t="n">
        <x:f>IF(G21=0,0,MIN(10,10*F21/G21))</x:f>
        <x:v>8.474576271186441</x:v>
      </x:c>
      <x:c r="I21" s="53" t="n">
        <x:v>9</x:v>
      </x:c>
      <x:c r="J21" s="53" t="n">
        <x:v>9</x:v>
      </x:c>
      <x:c r="K21" s="53" t="n">
        <x:v>7</x:v>
      </x:c>
      <x:c r="L21" s="53" t="n">
        <x:v>9</x:v>
      </x:c>
      <x:c r="M21" s="53" t="n">
        <x:v>3</x:v>
      </x:c>
      <x:c r="N21" s="53" t="str">
        <x:v>PASS</x:v>
      </x:c>
      <x:c r="O21" s="62" t="str">
        <x:v>需核对规格、税费、安装和售后边界</x:v>
      </x:c>
      <x:c r="P21" s="63" t="n">
        <x:f>IF(N21="PASS",H21*'02_假设与情景'!$H$6+I21*'02_假设与情景'!$H$7+J21*'02_假设与情景'!$H$8+K21*'02_假设与情景'!$H$9+L21*'02_假设与情景'!$H$10+M21*'02_假设与情景'!$H$11,0)</x:f>
        <x:v>8.042372881355933</x:v>
      </x:c>
      <x:c r="Q21" s="64" t="str">
        <x:f>IF(N21&lt;&gt;"PASS","不推荐-需再验证",IF(P21&gt;=8,"优先候选",IF(P21&gt;=7,"可询价","备选")))</x:f>
        <x:v>优先候选</x:v>
      </x:c>
      <x:c r="R21" s="12" t="str">
        <x:v>SRC-031</x:v>
      </x:c>
      <x:c r="S21" s="12" t="str">
        <x:v>进入同规格询价和总拥有成本比较</x:v>
      </x:c>
    </x:row>
    <x:row r="22">
      <x:c r="A22" t="str">
        <x:v>ALT-017</x:v>
      </x:c>
      <x:c r="B22" t="str">
        <x:v>CAPEX-009</x:v>
      </x:c>
      <x:c r="C22" t="str">
        <x:v>更衣、缓冲、物流与留样区</x:v>
      </x:c>
      <x:c r="D22" t="str">
        <x:v>成本优选：同规格国产合规供应商双询价</x:v>
      </x:c>
      <x:c r="E22" t="str">
        <x:v>国产/本地供应链</x:v>
      </x:c>
      <x:c r="F22" s="51" t="n">
        <x:v>900</x:v>
      </x:c>
      <x:c r="G22" s="51" t="n">
        <x:v>765</x:v>
      </x:c>
      <x:c r="H22" s="60" t="n">
        <x:f>IF(G22=0,0,MIN(10,10*F22/G22))</x:f>
        <x:v>10</x:v>
      </x:c>
      <x:c r="I22" s="53" t="n">
        <x:v>7</x:v>
      </x:c>
      <x:c r="J22" s="53" t="n">
        <x:v>8</x:v>
      </x:c>
      <x:c r="K22" s="53" t="n">
        <x:v>8</x:v>
      </x:c>
      <x:c r="L22" s="53" t="n">
        <x:v>6</x:v>
      </x:c>
      <x:c r="M22" s="53" t="n">
        <x:v>3</x:v>
      </x:c>
      <x:c r="N22" s="53" t="str">
        <x:v>PASS</x:v>
      </x:c>
      <x:c r="O22" s="62" t="str">
        <x:v>需核对规格、税费、安装和售后边界</x:v>
      </x:c>
      <x:c r="P22" s="63" t="n">
        <x:f>IF(N22="PASS",H22*'02_假设与情景'!$H$6+I22*'02_假设与情景'!$H$7+J22*'02_假设与情景'!$H$8+K22*'02_假设与情景'!$H$9+L22*'02_假设与情景'!$H$10+M22*'02_假设与情景'!$H$11,0)</x:f>
        <x:v>7.6499999999999995</x:v>
      </x:c>
      <x:c r="Q22" s="64" t="str">
        <x:f>IF(N22&lt;&gt;"PASS","不推荐-需再验证",IF(P22&gt;=8,"优先候选",IF(P22&gt;=7,"可询价","备选")))</x:f>
        <x:v>可询价</x:v>
      </x:c>
      <x:c r="R22" s="12" t="str">
        <x:v>SRC-031</x:v>
      </x:c>
      <x:c r="S22" s="12" t="str">
        <x:v>进入同规格询价和总拥有成本比较</x:v>
      </x:c>
    </x:row>
    <x:row r="23">
      <x:c r="A23" t="str">
        <x:v>ALT-018</x:v>
      </x:c>
      <x:c r="B23" t="str">
        <x:v>CAPEX-009</x:v>
      </x:c>
      <x:c r="C23" t="str">
        <x:v>更衣、缓冲、物流与留样区</x:v>
      </x:c>
      <x:c r="D23" t="str">
        <x:v>品质优选：头部品牌全服务包</x:v>
      </x:c>
      <x:c r="E23" t="str">
        <x:v>头部品牌/专业服务商</x:v>
      </x:c>
      <x:c r="F23" s="51" t="n">
        <x:v>900</x:v>
      </x:c>
      <x:c r="G23" s="51" t="n">
        <x:v>1062</x:v>
      </x:c>
      <x:c r="H23" s="60" t="n">
        <x:f>IF(G23=0,0,MIN(10,10*F23/G23))</x:f>
        <x:v>8.474576271186441</x:v>
      </x:c>
      <x:c r="I23" s="53" t="n">
        <x:v>9</x:v>
      </x:c>
      <x:c r="J23" s="53" t="n">
        <x:v>9</x:v>
      </x:c>
      <x:c r="K23" s="53" t="n">
        <x:v>7</x:v>
      </x:c>
      <x:c r="L23" s="53" t="n">
        <x:v>9</x:v>
      </x:c>
      <x:c r="M23" s="53" t="n">
        <x:v>3</x:v>
      </x:c>
      <x:c r="N23" s="53" t="str">
        <x:v>PASS</x:v>
      </x:c>
      <x:c r="O23" s="62" t="str">
        <x:v>需核对规格、税费、安装和售后边界</x:v>
      </x:c>
      <x:c r="P23" s="63" t="n">
        <x:f>IF(N23="PASS",H23*'02_假设与情景'!$H$6+I23*'02_假设与情景'!$H$7+J23*'02_假设与情景'!$H$8+K23*'02_假设与情景'!$H$9+L23*'02_假设与情景'!$H$10+M23*'02_假设与情景'!$H$11,0)</x:f>
        <x:v>8.042372881355933</x:v>
      </x:c>
      <x:c r="Q23" s="64" t="str">
        <x:f>IF(N23&lt;&gt;"PASS","不推荐-需再验证",IF(P23&gt;=8,"优先候选",IF(P23&gt;=7,"可询价","备选")))</x:f>
        <x:v>优先候选</x:v>
      </x:c>
      <x:c r="R23" s="12" t="str">
        <x:v>SRC-031</x:v>
      </x:c>
      <x:c r="S23" s="12" t="str">
        <x:v>进入同规格询价和总拥有成本比较</x:v>
      </x:c>
    </x:row>
    <x:row r="24">
      <x:c r="A24" t="str">
        <x:v>ALT-019</x:v>
      </x:c>
      <x:c r="B24" t="str">
        <x:v>CAPEX-010</x:v>
      </x:c>
      <x:c r="C24" t="str">
        <x:v>洁净HVAC系统</x:v>
      </x:c>
      <x:c r="D24" t="str">
        <x:v>成本优选：同规格国产合规供应商双询价</x:v>
      </x:c>
      <x:c r="E24" t="str">
        <x:v>国产/本地供应链</x:v>
      </x:c>
      <x:c r="F24" s="51" t="n">
        <x:v>1800</x:v>
      </x:c>
      <x:c r="G24" s="51" t="n">
        <x:v>1530</x:v>
      </x:c>
      <x:c r="H24" s="60" t="n">
        <x:f>IF(G24=0,0,MIN(10,10*F24/G24))</x:f>
        <x:v>10</x:v>
      </x:c>
      <x:c r="I24" s="53" t="n">
        <x:v>7</x:v>
      </x:c>
      <x:c r="J24" s="53" t="n">
        <x:v>8</x:v>
      </x:c>
      <x:c r="K24" s="53" t="n">
        <x:v>8</x:v>
      </x:c>
      <x:c r="L24" s="53" t="n">
        <x:v>6</x:v>
      </x:c>
      <x:c r="M24" s="53" t="n">
        <x:v>4</x:v>
      </x:c>
      <x:c r="N24" s="53" t="str">
        <x:v>PASS</x:v>
      </x:c>
      <x:c r="O24" s="62" t="str">
        <x:v>需核对规格、税费、安装和售后边界</x:v>
      </x:c>
      <x:c r="P24" s="63" t="n">
        <x:f>IF(N24="PASS",H24*'02_假设与情景'!$H$6+I24*'02_假设与情景'!$H$7+J24*'02_假设与情景'!$H$8+K24*'02_假设与情景'!$H$9+L24*'02_假设与情景'!$H$10+M24*'02_假设与情景'!$H$11,0)</x:f>
        <x:v>7.75</x:v>
      </x:c>
      <x:c r="Q24" s="64" t="str">
        <x:f>IF(N24&lt;&gt;"PASS","不推荐-需再验证",IF(P24&gt;=8,"优先候选",IF(P24&gt;=7,"可询价","备选")))</x:f>
        <x:v>可询价</x:v>
      </x:c>
      <x:c r="R24" s="12" t="str">
        <x:v>SRC-017, SRC-018</x:v>
      </x:c>
      <x:c r="S24" s="12" t="str">
        <x:v>进入同规格询价和总拥有成本比较</x:v>
      </x:c>
    </x:row>
    <x:row r="25">
      <x:c r="A25" t="str">
        <x:v>ALT-020</x:v>
      </x:c>
      <x:c r="B25" t="str">
        <x:v>CAPEX-010</x:v>
      </x:c>
      <x:c r="C25" t="str">
        <x:v>洁净HVAC系统</x:v>
      </x:c>
      <x:c r="D25" t="str">
        <x:v>品质优选：头部品牌全服务包</x:v>
      </x:c>
      <x:c r="E25" t="str">
        <x:v>头部品牌/专业服务商</x:v>
      </x:c>
      <x:c r="F25" s="51" t="n">
        <x:v>1800</x:v>
      </x:c>
      <x:c r="G25" s="51" t="n">
        <x:v>2124</x:v>
      </x:c>
      <x:c r="H25" s="60" t="n">
        <x:f>IF(G25=0,0,MIN(10,10*F25/G25))</x:f>
        <x:v>8.474576271186441</x:v>
      </x:c>
      <x:c r="I25" s="53" t="n">
        <x:v>9</x:v>
      </x:c>
      <x:c r="J25" s="53" t="n">
        <x:v>9</x:v>
      </x:c>
      <x:c r="K25" s="53" t="n">
        <x:v>7</x:v>
      </x:c>
      <x:c r="L25" s="53" t="n">
        <x:v>9</x:v>
      </x:c>
      <x:c r="M25" s="53" t="n">
        <x:v>4</x:v>
      </x:c>
      <x:c r="N25" s="53" t="str">
        <x:v>PASS</x:v>
      </x:c>
      <x:c r="O25" s="62" t="str">
        <x:v>需核对规格、税费、安装和售后边界</x:v>
      </x:c>
      <x:c r="P25" s="63" t="n">
        <x:f>IF(N25="PASS",H25*'02_假设与情景'!$H$6+I25*'02_假设与情景'!$H$7+J25*'02_假设与情景'!$H$8+K25*'02_假设与情景'!$H$9+L25*'02_假设与情景'!$H$10+M25*'02_假设与情景'!$H$11,0)</x:f>
        <x:v>8.142372881355932</x:v>
      </x:c>
      <x:c r="Q25" s="64" t="str">
        <x:f>IF(N25&lt;&gt;"PASS","不推荐-需再验证",IF(P25&gt;=8,"优先候选",IF(P25&gt;=7,"可询价","备选")))</x:f>
        <x:v>优先候选</x:v>
      </x:c>
      <x:c r="R25" s="12" t="str">
        <x:v>SRC-017, SRC-018</x:v>
      </x:c>
      <x:c r="S25" s="12" t="str">
        <x:v>进入同规格询价和总拥有成本比较</x:v>
      </x:c>
    </x:row>
    <x:row r="26">
      <x:c r="A26" t="str">
        <x:v>ALT-021</x:v>
      </x:c>
      <x:c r="B26" t="str">
        <x:v>CAPEX-011</x:v>
      </x:c>
      <x:c r="C26" t="str">
        <x:v>HEPA及压差环境监测</x:v>
      </x:c>
      <x:c r="D26" t="str">
        <x:v>成本优选：同规格国产合规供应商双询价</x:v>
      </x:c>
      <x:c r="E26" t="str">
        <x:v>国产/本地供应链</x:v>
      </x:c>
      <x:c r="F26" s="51" t="n">
        <x:v>350000</x:v>
      </x:c>
      <x:c r="G26" s="51" t="n">
        <x:v>297500</x:v>
      </x:c>
      <x:c r="H26" s="60" t="n">
        <x:f>IF(G26=0,0,MIN(10,10*F26/G26))</x:f>
        <x:v>10</x:v>
      </x:c>
      <x:c r="I26" s="53" t="n">
        <x:v>7</x:v>
      </x:c>
      <x:c r="J26" s="53" t="n">
        <x:v>8</x:v>
      </x:c>
      <x:c r="K26" s="53" t="n">
        <x:v>8</x:v>
      </x:c>
      <x:c r="L26" s="53" t="n">
        <x:v>6</x:v>
      </x:c>
      <x:c r="M26" s="53" t="n">
        <x:v>3</x:v>
      </x:c>
      <x:c r="N26" s="53" t="str">
        <x:v>PASS</x:v>
      </x:c>
      <x:c r="O26" s="62" t="str">
        <x:v>需核对规格、税费、安装和售后边界</x:v>
      </x:c>
      <x:c r="P26" s="63" t="n">
        <x:f>IF(N26="PASS",H26*'02_假设与情景'!$H$6+I26*'02_假设与情景'!$H$7+J26*'02_假设与情景'!$H$8+K26*'02_假设与情景'!$H$9+L26*'02_假设与情景'!$H$10+M26*'02_假设与情景'!$H$11,0)</x:f>
        <x:v>7.6499999999999995</x:v>
      </x:c>
      <x:c r="Q26" s="64" t="str">
        <x:f>IF(N26&lt;&gt;"PASS","不推荐-需再验证",IF(P26&gt;=8,"优先候选",IF(P26&gt;=7,"可询价","备选")))</x:f>
        <x:v>可询价</x:v>
      </x:c>
      <x:c r="R26" s="12" t="str">
        <x:v>SRC-031</x:v>
      </x:c>
      <x:c r="S26" s="12" t="str">
        <x:v>进入同规格询价和总拥有成本比较</x:v>
      </x:c>
    </x:row>
    <x:row r="27">
      <x:c r="A27" t="str">
        <x:v>ALT-022</x:v>
      </x:c>
      <x:c r="B27" t="str">
        <x:v>CAPEX-011</x:v>
      </x:c>
      <x:c r="C27" t="str">
        <x:v>HEPA及压差环境监测</x:v>
      </x:c>
      <x:c r="D27" t="str">
        <x:v>品质优选：头部品牌全服务包</x:v>
      </x:c>
      <x:c r="E27" t="str">
        <x:v>头部品牌/专业服务商</x:v>
      </x:c>
      <x:c r="F27" s="51" t="n">
        <x:v>350000</x:v>
      </x:c>
      <x:c r="G27" s="51" t="n">
        <x:v>413000</x:v>
      </x:c>
      <x:c r="H27" s="60" t="n">
        <x:f>IF(G27=0,0,MIN(10,10*F27/G27))</x:f>
        <x:v>8.474576271186441</x:v>
      </x:c>
      <x:c r="I27" s="53" t="n">
        <x:v>9</x:v>
      </x:c>
      <x:c r="J27" s="53" t="n">
        <x:v>9</x:v>
      </x:c>
      <x:c r="K27" s="53" t="n">
        <x:v>7</x:v>
      </x:c>
      <x:c r="L27" s="53" t="n">
        <x:v>9</x:v>
      </x:c>
      <x:c r="M27" s="53" t="n">
        <x:v>3</x:v>
      </x:c>
      <x:c r="N27" s="53" t="str">
        <x:v>PASS</x:v>
      </x:c>
      <x:c r="O27" s="62" t="str">
        <x:v>需核对规格、税费、安装和售后边界</x:v>
      </x:c>
      <x:c r="P27" s="63" t="n">
        <x:f>IF(N27="PASS",H27*'02_假设与情景'!$H$6+I27*'02_假设与情景'!$H$7+J27*'02_假设与情景'!$H$8+K27*'02_假设与情景'!$H$9+L27*'02_假设与情景'!$H$10+M27*'02_假设与情景'!$H$11,0)</x:f>
        <x:v>8.042372881355933</x:v>
      </x:c>
      <x:c r="Q27" s="64" t="str">
        <x:f>IF(N27&lt;&gt;"PASS","不推荐-需再验证",IF(P27&gt;=8,"优先候选",IF(P27&gt;=7,"可询价","备选")))</x:f>
        <x:v>优先候选</x:v>
      </x:c>
      <x:c r="R27" s="12" t="str">
        <x:v>SRC-031</x:v>
      </x:c>
      <x:c r="S27" s="12" t="str">
        <x:v>进入同规格询价和总拥有成本比较</x:v>
      </x:c>
    </x:row>
    <x:row r="28">
      <x:c r="A28" t="str">
        <x:v>ALT-023</x:v>
      </x:c>
      <x:c r="B28" t="str">
        <x:v>CAPEX-012</x:v>
      </x:c>
      <x:c r="C28" t="str">
        <x:v>质粒间独立负压排风系统</x:v>
      </x:c>
      <x:c r="D28" t="str">
        <x:v>成本优选：同规格国产合规供应商双询价</x:v>
      </x:c>
      <x:c r="E28" t="str">
        <x:v>国产/本地供应链</x:v>
      </x:c>
      <x:c r="F28" s="51" t="n">
        <x:v>250000</x:v>
      </x:c>
      <x:c r="G28" s="51" t="n">
        <x:v>212500</x:v>
      </x:c>
      <x:c r="H28" s="60" t="n">
        <x:f>IF(G28=0,0,MIN(10,10*F28/G28))</x:f>
        <x:v>10</x:v>
      </x:c>
      <x:c r="I28" s="53" t="n">
        <x:v>7</x:v>
      </x:c>
      <x:c r="J28" s="53" t="n">
        <x:v>8</x:v>
      </x:c>
      <x:c r="K28" s="53" t="n">
        <x:v>8</x:v>
      </x:c>
      <x:c r="L28" s="53" t="n">
        <x:v>6</x:v>
      </x:c>
      <x:c r="M28" s="53" t="n">
        <x:v>3</x:v>
      </x:c>
      <x:c r="N28" s="53" t="str">
        <x:v>PASS</x:v>
      </x:c>
      <x:c r="O28" s="62" t="str">
        <x:v>需核对规格、税费、安装和售后边界</x:v>
      </x:c>
      <x:c r="P28" s="63" t="n">
        <x:f>IF(N28="PASS",H28*'02_假设与情景'!$H$6+I28*'02_假设与情景'!$H$7+J28*'02_假设与情景'!$H$8+K28*'02_假设与情景'!$H$9+L28*'02_假设与情景'!$H$10+M28*'02_假设与情景'!$H$11,0)</x:f>
        <x:v>7.6499999999999995</x:v>
      </x:c>
      <x:c r="Q28" s="64" t="str">
        <x:f>IF(N28&lt;&gt;"PASS","不推荐-需再验证",IF(P28&gt;=8,"优先候选",IF(P28&gt;=7,"可询价","备选")))</x:f>
        <x:v>可询价</x:v>
      </x:c>
      <x:c r="R28" s="12" t="str">
        <x:v>SRC-031</x:v>
      </x:c>
      <x:c r="S28" s="12" t="str">
        <x:v>进入同规格询价和总拥有成本比较</x:v>
      </x:c>
    </x:row>
    <x:row r="29">
      <x:c r="A29" t="str">
        <x:v>ALT-024</x:v>
      </x:c>
      <x:c r="B29" t="str">
        <x:v>CAPEX-012</x:v>
      </x:c>
      <x:c r="C29" t="str">
        <x:v>质粒间独立负压排风系统</x:v>
      </x:c>
      <x:c r="D29" t="str">
        <x:v>品质优选：头部品牌全服务包</x:v>
      </x:c>
      <x:c r="E29" t="str">
        <x:v>头部品牌/专业服务商</x:v>
      </x:c>
      <x:c r="F29" s="51" t="n">
        <x:v>250000</x:v>
      </x:c>
      <x:c r="G29" s="51" t="n">
        <x:v>295000</x:v>
      </x:c>
      <x:c r="H29" s="60" t="n">
        <x:f>IF(G29=0,0,MIN(10,10*F29/G29))</x:f>
        <x:v>8.474576271186441</x:v>
      </x:c>
      <x:c r="I29" s="53" t="n">
        <x:v>9</x:v>
      </x:c>
      <x:c r="J29" s="53" t="n">
        <x:v>9</x:v>
      </x:c>
      <x:c r="K29" s="53" t="n">
        <x:v>7</x:v>
      </x:c>
      <x:c r="L29" s="53" t="n">
        <x:v>9</x:v>
      </x:c>
      <x:c r="M29" s="53" t="n">
        <x:v>3</x:v>
      </x:c>
      <x:c r="N29" s="53" t="str">
        <x:v>PASS</x:v>
      </x:c>
      <x:c r="O29" s="62" t="str">
        <x:v>需核对规格、税费、安装和售后边界</x:v>
      </x:c>
      <x:c r="P29" s="63" t="n">
        <x:f>IF(N29="PASS",H29*'02_假设与情景'!$H$6+I29*'02_假设与情景'!$H$7+J29*'02_假设与情景'!$H$8+K29*'02_假设与情景'!$H$9+L29*'02_假设与情景'!$H$10+M29*'02_假设与情景'!$H$11,0)</x:f>
        <x:v>8.042372881355933</x:v>
      </x:c>
      <x:c r="Q29" s="64" t="str">
        <x:f>IF(N29&lt;&gt;"PASS","不推荐-需再验证",IF(P29&gt;=8,"优先候选",IF(P29&gt;=7,"可询价","备选")))</x:f>
        <x:v>优先候选</x:v>
      </x:c>
      <x:c r="R29" s="12" t="str">
        <x:v>SRC-031</x:v>
      </x:c>
      <x:c r="S29" s="12" t="str">
        <x:v>进入同规格询价和总拥有成本比较</x:v>
      </x:c>
    </x:row>
    <x:row r="30">
      <x:c r="A30" t="str">
        <x:v>ALT-025</x:v>
      </x:c>
      <x:c r="B30" t="str">
        <x:v>CAPEX-013</x:v>
      </x:c>
      <x:c r="C30" t="str">
        <x:v>黄光避光照明系统</x:v>
      </x:c>
      <x:c r="D30" t="str">
        <x:v>成本优选：同规格国产合规供应商双询价</x:v>
      </x:c>
      <x:c r="E30" t="str">
        <x:v>国产/本地供应链</x:v>
      </x:c>
      <x:c r="F30" s="51" t="n">
        <x:v>50000</x:v>
      </x:c>
      <x:c r="G30" s="51" t="n">
        <x:v>42500</x:v>
      </x:c>
      <x:c r="H30" s="60" t="n">
        <x:f>IF(G30=0,0,MIN(10,10*F30/G30))</x:f>
        <x:v>10</x:v>
      </x:c>
      <x:c r="I30" s="53" t="n">
        <x:v>7</x:v>
      </x:c>
      <x:c r="J30" s="53" t="n">
        <x:v>8</x:v>
      </x:c>
      <x:c r="K30" s="53" t="n">
        <x:v>8</x:v>
      </x:c>
      <x:c r="L30" s="53" t="n">
        <x:v>6</x:v>
      </x:c>
      <x:c r="M30" s="53" t="n">
        <x:v>3</x:v>
      </x:c>
      <x:c r="N30" s="53" t="str">
        <x:v>PASS</x:v>
      </x:c>
      <x:c r="O30" s="62" t="str">
        <x:v>需核对规格、税费、安装和售后边界</x:v>
      </x:c>
      <x:c r="P30" s="63" t="n">
        <x:f>IF(N30="PASS",H30*'02_假设与情景'!$H$6+I30*'02_假设与情景'!$H$7+J30*'02_假设与情景'!$H$8+K30*'02_假设与情景'!$H$9+L30*'02_假设与情景'!$H$10+M30*'02_假设与情景'!$H$11,0)</x:f>
        <x:v>7.6499999999999995</x:v>
      </x:c>
      <x:c r="Q30" s="64" t="str">
        <x:f>IF(N30&lt;&gt;"PASS","不推荐-需再验证",IF(P30&gt;=8,"优先候选",IF(P30&gt;=7,"可询价","备选")))</x:f>
        <x:v>可询价</x:v>
      </x:c>
      <x:c r="R30" s="12" t="str">
        <x:v>SRC-031</x:v>
      </x:c>
      <x:c r="S30" s="12" t="str">
        <x:v>进入同规格询价和总拥有成本比较</x:v>
      </x:c>
    </x:row>
    <x:row r="31">
      <x:c r="A31" t="str">
        <x:v>ALT-026</x:v>
      </x:c>
      <x:c r="B31" t="str">
        <x:v>CAPEX-013</x:v>
      </x:c>
      <x:c r="C31" t="str">
        <x:v>黄光避光照明系统</x:v>
      </x:c>
      <x:c r="D31" t="str">
        <x:v>品质优选：头部品牌全服务包</x:v>
      </x:c>
      <x:c r="E31" t="str">
        <x:v>头部品牌/专业服务商</x:v>
      </x:c>
      <x:c r="F31" s="51" t="n">
        <x:v>50000</x:v>
      </x:c>
      <x:c r="G31" s="51" t="n">
        <x:v>59000</x:v>
      </x:c>
      <x:c r="H31" s="60" t="n">
        <x:f>IF(G31=0,0,MIN(10,10*F31/G31))</x:f>
        <x:v>8.474576271186441</x:v>
      </x:c>
      <x:c r="I31" s="53" t="n">
        <x:v>9</x:v>
      </x:c>
      <x:c r="J31" s="53" t="n">
        <x:v>9</x:v>
      </x:c>
      <x:c r="K31" s="53" t="n">
        <x:v>7</x:v>
      </x:c>
      <x:c r="L31" s="53" t="n">
        <x:v>9</x:v>
      </x:c>
      <x:c r="M31" s="53" t="n">
        <x:v>3</x:v>
      </x:c>
      <x:c r="N31" s="53" t="str">
        <x:v>PASS</x:v>
      </x:c>
      <x:c r="O31" s="62" t="str">
        <x:v>需核对规格、税费、安装和售后边界</x:v>
      </x:c>
      <x:c r="P31" s="63" t="n">
        <x:f>IF(N31="PASS",H31*'02_假设与情景'!$H$6+I31*'02_假设与情景'!$H$7+J31*'02_假设与情景'!$H$8+K31*'02_假设与情景'!$H$9+L31*'02_假设与情景'!$H$10+M31*'02_假设与情景'!$H$11,0)</x:f>
        <x:v>8.042372881355933</x:v>
      </x:c>
      <x:c r="Q31" s="64" t="str">
        <x:f>IF(N31&lt;&gt;"PASS","不推荐-需再验证",IF(P31&gt;=8,"优先候选",IF(P31&gt;=7,"可询价","备选")))</x:f>
        <x:v>优先候选</x:v>
      </x:c>
      <x:c r="R31" s="12" t="str">
        <x:v>SRC-031</x:v>
      </x:c>
      <x:c r="S31" s="12" t="str">
        <x:v>进入同规格询价和总拥有成本比较</x:v>
      </x:c>
    </x:row>
    <x:row r="32">
      <x:c r="A32" t="str">
        <x:v>ALT-027</x:v>
      </x:c>
      <x:c r="B32" t="str">
        <x:v>CAPEX-014</x:v>
      </x:c>
      <x:c r="C32" t="str">
        <x:v>实验/工艺纯化水设备及管路</x:v>
      </x:c>
      <x:c r="D32" t="str">
        <x:v>成本优选：同规格国产合规供应商双询价</x:v>
      </x:c>
      <x:c r="E32" t="str">
        <x:v>国产/本地供应链</x:v>
      </x:c>
      <x:c r="F32" s="51" t="n">
        <x:v>180000</x:v>
      </x:c>
      <x:c r="G32" s="51" t="n">
        <x:v>153000</x:v>
      </x:c>
      <x:c r="H32" s="60" t="n">
        <x:f>IF(G32=0,0,MIN(10,10*F32/G32))</x:f>
        <x:v>10</x:v>
      </x:c>
      <x:c r="I32" s="53" t="n">
        <x:v>7</x:v>
      </x:c>
      <x:c r="J32" s="53" t="n">
        <x:v>8</x:v>
      </x:c>
      <x:c r="K32" s="53" t="n">
        <x:v>8</x:v>
      </x:c>
      <x:c r="L32" s="53" t="n">
        <x:v>6</x:v>
      </x:c>
      <x:c r="M32" s="53" t="n">
        <x:v>3</x:v>
      </x:c>
      <x:c r="N32" s="53" t="str">
        <x:v>PASS</x:v>
      </x:c>
      <x:c r="O32" s="62" t="str">
        <x:v>需核对规格、税费、安装和售后边界</x:v>
      </x:c>
      <x:c r="P32" s="63" t="n">
        <x:f>IF(N32="PASS",H32*'02_假设与情景'!$H$6+I32*'02_假设与情景'!$H$7+J32*'02_假设与情景'!$H$8+K32*'02_假设与情景'!$H$9+L32*'02_假设与情景'!$H$10+M32*'02_假设与情景'!$H$11,0)</x:f>
        <x:v>7.6499999999999995</x:v>
      </x:c>
      <x:c r="Q32" s="64" t="str">
        <x:f>IF(N32&lt;&gt;"PASS","不推荐-需再验证",IF(P32&gt;=8,"优先候选",IF(P32&gt;=7,"可询价","备选")))</x:f>
        <x:v>可询价</x:v>
      </x:c>
      <x:c r="R32" s="12" t="str">
        <x:v>SRC-026</x:v>
      </x:c>
      <x:c r="S32" s="12" t="str">
        <x:v>进入同规格询价和总拥有成本比较</x:v>
      </x:c>
    </x:row>
    <x:row r="33">
      <x:c r="A33" t="str">
        <x:v>ALT-028</x:v>
      </x:c>
      <x:c r="B33" t="str">
        <x:v>CAPEX-014</x:v>
      </x:c>
      <x:c r="C33" t="str">
        <x:v>实验/工艺纯化水设备及管路</x:v>
      </x:c>
      <x:c r="D33" t="str">
        <x:v>品质优选：头部品牌全服务包</x:v>
      </x:c>
      <x:c r="E33" t="str">
        <x:v>头部品牌/专业服务商</x:v>
      </x:c>
      <x:c r="F33" s="51" t="n">
        <x:v>180000</x:v>
      </x:c>
      <x:c r="G33" s="51" t="n">
        <x:v>212400</x:v>
      </x:c>
      <x:c r="H33" s="60" t="n">
        <x:f>IF(G33=0,0,MIN(10,10*F33/G33))</x:f>
        <x:v>8.474576271186441</x:v>
      </x:c>
      <x:c r="I33" s="53" t="n">
        <x:v>9</x:v>
      </x:c>
      <x:c r="J33" s="53" t="n">
        <x:v>9</x:v>
      </x:c>
      <x:c r="K33" s="53" t="n">
        <x:v>7</x:v>
      </x:c>
      <x:c r="L33" s="53" t="n">
        <x:v>9</x:v>
      </x:c>
      <x:c r="M33" s="53" t="n">
        <x:v>3</x:v>
      </x:c>
      <x:c r="N33" s="53" t="str">
        <x:v>PASS</x:v>
      </x:c>
      <x:c r="O33" s="62" t="str">
        <x:v>需核对规格、税费、安装和售后边界</x:v>
      </x:c>
      <x:c r="P33" s="63" t="n">
        <x:f>IF(N33="PASS",H33*'02_假设与情景'!$H$6+I33*'02_假设与情景'!$H$7+J33*'02_假设与情景'!$H$8+K33*'02_假设与情景'!$H$9+L33*'02_假设与情景'!$H$10+M33*'02_假设与情景'!$H$11,0)</x:f>
        <x:v>8.042372881355933</x:v>
      </x:c>
      <x:c r="Q33" s="64" t="str">
        <x:f>IF(N33&lt;&gt;"PASS","不推荐-需再验证",IF(P33&gt;=8,"优先候选",IF(P33&gt;=7,"可询价","备选")))</x:f>
        <x:v>优先候选</x:v>
      </x:c>
      <x:c r="R33" s="12" t="str">
        <x:v>SRC-026</x:v>
      </x:c>
      <x:c r="S33" s="12" t="str">
        <x:v>进入同规格询价和总拥有成本比较</x:v>
      </x:c>
    </x:row>
    <x:row r="34">
      <x:c r="A34" t="str">
        <x:v>ALT-029</x:v>
      </x:c>
      <x:c r="B34" t="str">
        <x:v>CAPEX-015</x:v>
      </x:c>
      <x:c r="C34" t="str">
        <x:v>工业污水预处理设施</x:v>
      </x:c>
      <x:c r="D34" t="str">
        <x:v>成本优选：同规格国产合规供应商双询价</x:v>
      </x:c>
      <x:c r="E34" t="str">
        <x:v>国产/本地供应链</x:v>
      </x:c>
      <x:c r="F34" s="51" t="n">
        <x:v>150000</x:v>
      </x:c>
      <x:c r="G34" s="51" t="n">
        <x:v>127500</x:v>
      </x:c>
      <x:c r="H34" s="60" t="n">
        <x:f>IF(G34=0,0,MIN(10,10*F34/G34))</x:f>
        <x:v>10</x:v>
      </x:c>
      <x:c r="I34" s="53" t="n">
        <x:v>7</x:v>
      </x:c>
      <x:c r="J34" s="53" t="n">
        <x:v>8</x:v>
      </x:c>
      <x:c r="K34" s="53" t="n">
        <x:v>8</x:v>
      </x:c>
      <x:c r="L34" s="53" t="n">
        <x:v>6</x:v>
      </x:c>
      <x:c r="M34" s="53" t="n">
        <x:v>2</x:v>
      </x:c>
      <x:c r="N34" s="53" t="str">
        <x:v>PASS</x:v>
      </x:c>
      <x:c r="O34" s="62" t="str">
        <x:v>需核对规格、税费、安装和售后边界</x:v>
      </x:c>
      <x:c r="P34" s="63" t="n">
        <x:f>IF(N34="PASS",H34*'02_假设与情景'!$H$6+I34*'02_假设与情景'!$H$7+J34*'02_假设与情景'!$H$8+K34*'02_假设与情景'!$H$9+L34*'02_假设与情景'!$H$10+M34*'02_假设与情景'!$H$11,0)</x:f>
        <x:v>7.55</x:v>
      </x:c>
      <x:c r="Q34" s="64" t="str">
        <x:f>IF(N34&lt;&gt;"PASS","不推荐-需再验证",IF(P34&gt;=8,"优先候选",IF(P34&gt;=7,"可询价","备选")))</x:f>
        <x:v>可询价</x:v>
      </x:c>
      <x:c r="R34" s="12" t="str">
        <x:v>SRC-031</x:v>
      </x:c>
      <x:c r="S34" s="12" t="str">
        <x:v>进入同规格询价和总拥有成本比较</x:v>
      </x:c>
    </x:row>
    <x:row r="35">
      <x:c r="A35" t="str">
        <x:v>ALT-030</x:v>
      </x:c>
      <x:c r="B35" t="str">
        <x:v>CAPEX-015</x:v>
      </x:c>
      <x:c r="C35" t="str">
        <x:v>工业污水预处理设施</x:v>
      </x:c>
      <x:c r="D35" t="str">
        <x:v>品质优选：头部品牌全服务包</x:v>
      </x:c>
      <x:c r="E35" t="str">
        <x:v>头部品牌/专业服务商</x:v>
      </x:c>
      <x:c r="F35" s="51" t="n">
        <x:v>150000</x:v>
      </x:c>
      <x:c r="G35" s="51" t="n">
        <x:v>177000</x:v>
      </x:c>
      <x:c r="H35" s="60" t="n">
        <x:f>IF(G35=0,0,MIN(10,10*F35/G35))</x:f>
        <x:v>8.474576271186441</x:v>
      </x:c>
      <x:c r="I35" s="53" t="n">
        <x:v>9</x:v>
      </x:c>
      <x:c r="J35" s="53" t="n">
        <x:v>9</x:v>
      </x:c>
      <x:c r="K35" s="53" t="n">
        <x:v>7</x:v>
      </x:c>
      <x:c r="L35" s="53" t="n">
        <x:v>9</x:v>
      </x:c>
      <x:c r="M35" s="53" t="n">
        <x:v>3</x:v>
      </x:c>
      <x:c r="N35" s="53" t="str">
        <x:v>PASS</x:v>
      </x:c>
      <x:c r="O35" s="62" t="str">
        <x:v>需核对规格、税费、安装和售后边界</x:v>
      </x:c>
      <x:c r="P35" s="63" t="n">
        <x:f>IF(N35="PASS",H35*'02_假设与情景'!$H$6+I35*'02_假设与情景'!$H$7+J35*'02_假设与情景'!$H$8+K35*'02_假设与情景'!$H$9+L35*'02_假设与情景'!$H$10+M35*'02_假设与情景'!$H$11,0)</x:f>
        <x:v>8.042372881355933</x:v>
      </x:c>
      <x:c r="Q35" s="64" t="str">
        <x:f>IF(N35&lt;&gt;"PASS","不推荐-需再验证",IF(P35&gt;=8,"优先候选",IF(P35&gt;=7,"可询价","备选")))</x:f>
        <x:v>优先候选</x:v>
      </x:c>
      <x:c r="R35" s="12" t="str">
        <x:v>SRC-031</x:v>
      </x:c>
      <x:c r="S35" s="12" t="str">
        <x:v>进入同规格询价和总拥有成本比较</x:v>
      </x:c>
    </x:row>
    <x:row r="36">
      <x:c r="A36" t="str">
        <x:v>ALT-031</x:v>
      </x:c>
      <x:c r="B36" t="str">
        <x:v>CAPEX-016</x:v>
      </x:c>
      <x:c r="C36" t="str">
        <x:v>危废暂存间设施</x:v>
      </x:c>
      <x:c r="D36" t="str">
        <x:v>成本优选：同规格国产合规供应商双询价</x:v>
      </x:c>
      <x:c r="E36" t="str">
        <x:v>国产/本地供应链</x:v>
      </x:c>
      <x:c r="F36" s="51" t="n">
        <x:v>50000</x:v>
      </x:c>
      <x:c r="G36" s="51" t="n">
        <x:v>42500</x:v>
      </x:c>
      <x:c r="H36" s="60" t="n">
        <x:f>IF(G36=0,0,MIN(10,10*F36/G36))</x:f>
        <x:v>10</x:v>
      </x:c>
      <x:c r="I36" s="53" t="n">
        <x:v>7</x:v>
      </x:c>
      <x:c r="J36" s="53" t="n">
        <x:v>8</x:v>
      </x:c>
      <x:c r="K36" s="53" t="n">
        <x:v>8</x:v>
      </x:c>
      <x:c r="L36" s="53" t="n">
        <x:v>6</x:v>
      </x:c>
      <x:c r="M36" s="53" t="n">
        <x:v>2</x:v>
      </x:c>
      <x:c r="N36" s="53" t="str">
        <x:v>PASS</x:v>
      </x:c>
      <x:c r="O36" s="62" t="str">
        <x:v>需核对规格、税费、安装和售后边界</x:v>
      </x:c>
      <x:c r="P36" s="63" t="n">
        <x:f>IF(N36="PASS",H36*'02_假设与情景'!$H$6+I36*'02_假设与情景'!$H$7+J36*'02_假设与情景'!$H$8+K36*'02_假设与情景'!$H$9+L36*'02_假设与情景'!$H$10+M36*'02_假设与情景'!$H$11,0)</x:f>
        <x:v>7.55</x:v>
      </x:c>
      <x:c r="Q36" s="64" t="str">
        <x:f>IF(N36&lt;&gt;"PASS","不推荐-需再验证",IF(P36&gt;=8,"优先候选",IF(P36&gt;=7,"可询价","备选")))</x:f>
        <x:v>可询价</x:v>
      </x:c>
      <x:c r="R36" s="12" t="str">
        <x:v>SRC-031</x:v>
      </x:c>
      <x:c r="S36" s="12" t="str">
        <x:v>进入同规格询价和总拥有成本比较</x:v>
      </x:c>
    </x:row>
    <x:row r="37">
      <x:c r="A37" t="str">
        <x:v>ALT-032</x:v>
      </x:c>
      <x:c r="B37" t="str">
        <x:v>CAPEX-016</x:v>
      </x:c>
      <x:c r="C37" t="str">
        <x:v>危废暂存间设施</x:v>
      </x:c>
      <x:c r="D37" t="str">
        <x:v>品质优选：头部品牌全服务包</x:v>
      </x:c>
      <x:c r="E37" t="str">
        <x:v>头部品牌/专业服务商</x:v>
      </x:c>
      <x:c r="F37" s="51" t="n">
        <x:v>50000</x:v>
      </x:c>
      <x:c r="G37" s="51" t="n">
        <x:v>59000</x:v>
      </x:c>
      <x:c r="H37" s="60" t="n">
        <x:f>IF(G37=0,0,MIN(10,10*F37/G37))</x:f>
        <x:v>8.474576271186441</x:v>
      </x:c>
      <x:c r="I37" s="53" t="n">
        <x:v>9</x:v>
      </x:c>
      <x:c r="J37" s="53" t="n">
        <x:v>9</x:v>
      </x:c>
      <x:c r="K37" s="53" t="n">
        <x:v>7</x:v>
      </x:c>
      <x:c r="L37" s="53" t="n">
        <x:v>9</x:v>
      </x:c>
      <x:c r="M37" s="53" t="n">
        <x:v>3</x:v>
      </x:c>
      <x:c r="N37" s="53" t="str">
        <x:v>PASS</x:v>
      </x:c>
      <x:c r="O37" s="62" t="str">
        <x:v>需核对规格、税费、安装和售后边界</x:v>
      </x:c>
      <x:c r="P37" s="63" t="n">
        <x:f>IF(N37="PASS",H37*'02_假设与情景'!$H$6+I37*'02_假设与情景'!$H$7+J37*'02_假设与情景'!$H$8+K37*'02_假设与情景'!$H$9+L37*'02_假设与情景'!$H$10+M37*'02_假设与情景'!$H$11,0)</x:f>
        <x:v>8.042372881355933</x:v>
      </x:c>
      <x:c r="Q37" s="64" t="str">
        <x:f>IF(N37&lt;&gt;"PASS","不推荐-需再验证",IF(P37&gt;=8,"优先候选",IF(P37&gt;=7,"可询价","备选")))</x:f>
        <x:v>优先候选</x:v>
      </x:c>
      <x:c r="R37" s="12" t="str">
        <x:v>SRC-031</x:v>
      </x:c>
      <x:c r="S37" s="12" t="str">
        <x:v>进入同规格询价和总拥有成本比较</x:v>
      </x:c>
    </x:row>
    <x:row r="38">
      <x:c r="A38" t="str">
        <x:v>ALT-033</x:v>
      </x:c>
      <x:c r="B38" t="str">
        <x:v>CAPEX-017</x:v>
      </x:c>
      <x:c r="C38" t="str">
        <x:v>双回路配电及动力改造</x:v>
      </x:c>
      <x:c r="D38" t="str">
        <x:v>成本优选：同规格国产合规供应商双询价</x:v>
      </x:c>
      <x:c r="E38" t="str">
        <x:v>国产/本地供应链</x:v>
      </x:c>
      <x:c r="F38" s="51" t="n">
        <x:v>300000</x:v>
      </x:c>
      <x:c r="G38" s="51" t="n">
        <x:v>255000</x:v>
      </x:c>
      <x:c r="H38" s="60" t="n">
        <x:f>IF(G38=0,0,MIN(10,10*F38/G38))</x:f>
        <x:v>10</x:v>
      </x:c>
      <x:c r="I38" s="53" t="n">
        <x:v>7</x:v>
      </x:c>
      <x:c r="J38" s="53" t="n">
        <x:v>8</x:v>
      </x:c>
      <x:c r="K38" s="53" t="n">
        <x:v>8</x:v>
      </x:c>
      <x:c r="L38" s="53" t="n">
        <x:v>6</x:v>
      </x:c>
      <x:c r="M38" s="53" t="n">
        <x:v>3</x:v>
      </x:c>
      <x:c r="N38" s="53" t="str">
        <x:v>PASS</x:v>
      </x:c>
      <x:c r="O38" s="62" t="str">
        <x:v>需核对规格、税费、安装和售后边界</x:v>
      </x:c>
      <x:c r="P38" s="63" t="n">
        <x:f>IF(N38="PASS",H38*'02_假设与情景'!$H$6+I38*'02_假设与情景'!$H$7+J38*'02_假设与情景'!$H$8+K38*'02_假设与情景'!$H$9+L38*'02_假设与情景'!$H$10+M38*'02_假设与情景'!$H$11,0)</x:f>
        <x:v>7.6499999999999995</x:v>
      </x:c>
      <x:c r="Q38" s="64" t="str">
        <x:f>IF(N38&lt;&gt;"PASS","不推荐-需再验证",IF(P38&gt;=8,"优先候选",IF(P38&gt;=7,"可询价","备选")))</x:f>
        <x:v>可询价</x:v>
      </x:c>
      <x:c r="R38" s="12" t="str">
        <x:v>SRC-031</x:v>
      </x:c>
      <x:c r="S38" s="12" t="str">
        <x:v>进入同规格询价和总拥有成本比较</x:v>
      </x:c>
    </x:row>
    <x:row r="39">
      <x:c r="A39" t="str">
        <x:v>ALT-034</x:v>
      </x:c>
      <x:c r="B39" t="str">
        <x:v>CAPEX-017</x:v>
      </x:c>
      <x:c r="C39" t="str">
        <x:v>双回路配电及动力改造</x:v>
      </x:c>
      <x:c r="D39" t="str">
        <x:v>品质优选：头部品牌全服务包</x:v>
      </x:c>
      <x:c r="E39" t="str">
        <x:v>头部品牌/专业服务商</x:v>
      </x:c>
      <x:c r="F39" s="51" t="n">
        <x:v>300000</x:v>
      </x:c>
      <x:c r="G39" s="51" t="n">
        <x:v>354000</x:v>
      </x:c>
      <x:c r="H39" s="60" t="n">
        <x:f>IF(G39=0,0,MIN(10,10*F39/G39))</x:f>
        <x:v>8.474576271186441</x:v>
      </x:c>
      <x:c r="I39" s="53" t="n">
        <x:v>9</x:v>
      </x:c>
      <x:c r="J39" s="53" t="n">
        <x:v>9</x:v>
      </x:c>
      <x:c r="K39" s="53" t="n">
        <x:v>7</x:v>
      </x:c>
      <x:c r="L39" s="53" t="n">
        <x:v>9</x:v>
      </x:c>
      <x:c r="M39" s="53" t="n">
        <x:v>3</x:v>
      </x:c>
      <x:c r="N39" s="53" t="str">
        <x:v>PASS</x:v>
      </x:c>
      <x:c r="O39" s="62" t="str">
        <x:v>需核对规格、税费、安装和售后边界</x:v>
      </x:c>
      <x:c r="P39" s="63" t="n">
        <x:f>IF(N39="PASS",H39*'02_假设与情景'!$H$6+I39*'02_假设与情景'!$H$7+J39*'02_假设与情景'!$H$8+K39*'02_假设与情景'!$H$9+L39*'02_假设与情景'!$H$10+M39*'02_假设与情景'!$H$11,0)</x:f>
        <x:v>8.042372881355933</x:v>
      </x:c>
      <x:c r="Q39" s="64" t="str">
        <x:f>IF(N39&lt;&gt;"PASS","不推荐-需再验证",IF(P39&gt;=8,"优先候选",IF(P39&gt;=7,"可询价","备选")))</x:f>
        <x:v>优先候选</x:v>
      </x:c>
      <x:c r="R39" s="12" t="str">
        <x:v>SRC-031</x:v>
      </x:c>
      <x:c r="S39" s="12" t="str">
        <x:v>进入同规格询价和总拥有成本比较</x:v>
      </x:c>
    </x:row>
    <x:row r="40">
      <x:c r="A40" t="str">
        <x:v>ALT-035</x:v>
      </x:c>
      <x:c r="B40" t="str">
        <x:v>CAPEX-018</x:v>
      </x:c>
      <x:c r="C40" t="str">
        <x:v>关键仪器与信息系统UPS</x:v>
      </x:c>
      <x:c r="D40" t="str">
        <x:v>成本优选：同规格国产合规供应商双询价</x:v>
      </x:c>
      <x:c r="E40" t="str">
        <x:v>国产/本地供应链</x:v>
      </x:c>
      <x:c r="F40" s="51" t="n">
        <x:v>50000</x:v>
      </x:c>
      <x:c r="G40" s="51" t="n">
        <x:v>42500</x:v>
      </x:c>
      <x:c r="H40" s="60" t="n">
        <x:f>IF(G40=0,0,MIN(10,10*F40/G40))</x:f>
        <x:v>10</x:v>
      </x:c>
      <x:c r="I40" s="53" t="n">
        <x:v>7</x:v>
      </x:c>
      <x:c r="J40" s="53" t="n">
        <x:v>8</x:v>
      </x:c>
      <x:c r="K40" s="53" t="n">
        <x:v>8</x:v>
      </x:c>
      <x:c r="L40" s="53" t="n">
        <x:v>6</x:v>
      </x:c>
      <x:c r="M40" s="53" t="n">
        <x:v>3</x:v>
      </x:c>
      <x:c r="N40" s="53" t="str">
        <x:v>PASS</x:v>
      </x:c>
      <x:c r="O40" s="62" t="str">
        <x:v>需核对规格、税费、安装和售后边界</x:v>
      </x:c>
      <x:c r="P40" s="63" t="n">
        <x:f>IF(N40="PASS",H40*'02_假设与情景'!$H$6+I40*'02_假设与情景'!$H$7+J40*'02_假设与情景'!$H$8+K40*'02_假设与情景'!$H$9+L40*'02_假设与情景'!$H$10+M40*'02_假设与情景'!$H$11,0)</x:f>
        <x:v>7.6499999999999995</x:v>
      </x:c>
      <x:c r="Q40" s="64" t="str">
        <x:f>IF(N40&lt;&gt;"PASS","不推荐-需再验证",IF(P40&gt;=8,"优先候选",IF(P40&gt;=7,"可询价","备选")))</x:f>
        <x:v>可询价</x:v>
      </x:c>
      <x:c r="R40" s="12" t="str">
        <x:v>SRC-031</x:v>
      </x:c>
      <x:c r="S40" s="12" t="str">
        <x:v>进入同规格询价和总拥有成本比较</x:v>
      </x:c>
    </x:row>
    <x:row r="41">
      <x:c r="A41" t="str">
        <x:v>ALT-036</x:v>
      </x:c>
      <x:c r="B41" t="str">
        <x:v>CAPEX-018</x:v>
      </x:c>
      <x:c r="C41" t="str">
        <x:v>关键仪器与信息系统UPS</x:v>
      </x:c>
      <x:c r="D41" t="str">
        <x:v>品质优选：头部品牌全服务包</x:v>
      </x:c>
      <x:c r="E41" t="str">
        <x:v>头部品牌/专业服务商</x:v>
      </x:c>
      <x:c r="F41" s="51" t="n">
        <x:v>50000</x:v>
      </x:c>
      <x:c r="G41" s="51" t="n">
        <x:v>59000</x:v>
      </x:c>
      <x:c r="H41" s="60" t="n">
        <x:f>IF(G41=0,0,MIN(10,10*F41/G41))</x:f>
        <x:v>8.474576271186441</x:v>
      </x:c>
      <x:c r="I41" s="53" t="n">
        <x:v>9</x:v>
      </x:c>
      <x:c r="J41" s="53" t="n">
        <x:v>9</x:v>
      </x:c>
      <x:c r="K41" s="53" t="n">
        <x:v>7</x:v>
      </x:c>
      <x:c r="L41" s="53" t="n">
        <x:v>9</x:v>
      </x:c>
      <x:c r="M41" s="53" t="n">
        <x:v>3</x:v>
      </x:c>
      <x:c r="N41" s="53" t="str">
        <x:v>PASS</x:v>
      </x:c>
      <x:c r="O41" s="62" t="str">
        <x:v>需核对规格、税费、安装和售后边界</x:v>
      </x:c>
      <x:c r="P41" s="63" t="n">
        <x:f>IF(N41="PASS",H41*'02_假设与情景'!$H$6+I41*'02_假设与情景'!$H$7+J41*'02_假设与情景'!$H$8+K41*'02_假设与情景'!$H$9+L41*'02_假设与情景'!$H$10+M41*'02_假设与情景'!$H$11,0)</x:f>
        <x:v>8.042372881355933</x:v>
      </x:c>
      <x:c r="Q41" s="64" t="str">
        <x:f>IF(N41&lt;&gt;"PASS","不推荐-需再验证",IF(P41&gt;=8,"优先候选",IF(P41&gt;=7,"可询价","备选")))</x:f>
        <x:v>优先候选</x:v>
      </x:c>
      <x:c r="R41" s="12" t="str">
        <x:v>SRC-031</x:v>
      </x:c>
      <x:c r="S41" s="12" t="str">
        <x:v>进入同规格询价和总拥有成本比较</x:v>
      </x:c>
    </x:row>
    <x:row r="42">
      <x:c r="A42" t="str">
        <x:v>ALT-037</x:v>
      </x:c>
      <x:c r="B42" t="str">
        <x:v>CAPEX-019</x:v>
      </x:c>
      <x:c r="C42" t="str">
        <x:v>柴油发电机及ATS</x:v>
      </x:c>
      <x:c r="D42" t="str">
        <x:v>成本优选：同规格国产合规供应商双询价</x:v>
      </x:c>
      <x:c r="E42" t="str">
        <x:v>国产/本地供应链</x:v>
      </x:c>
      <x:c r="F42" s="51" t="n">
        <x:v>220000</x:v>
      </x:c>
      <x:c r="G42" s="51" t="n">
        <x:v>187000</x:v>
      </x:c>
      <x:c r="H42" s="60" t="n">
        <x:f>IF(G42=0,0,MIN(10,10*F42/G42))</x:f>
        <x:v>10</x:v>
      </x:c>
      <x:c r="I42" s="53" t="n">
        <x:v>7</x:v>
      </x:c>
      <x:c r="J42" s="53" t="n">
        <x:v>8</x:v>
      </x:c>
      <x:c r="K42" s="53" t="n">
        <x:v>8</x:v>
      </x:c>
      <x:c r="L42" s="53" t="n">
        <x:v>6</x:v>
      </x:c>
      <x:c r="M42" s="53" t="n">
        <x:v>3</x:v>
      </x:c>
      <x:c r="N42" s="53" t="str">
        <x:v>PASS</x:v>
      </x:c>
      <x:c r="O42" s="62" t="str">
        <x:v>需核对规格、税费、安装和售后边界</x:v>
      </x:c>
      <x:c r="P42" s="63" t="n">
        <x:f>IF(N42="PASS",H42*'02_假设与情景'!$H$6+I42*'02_假设与情景'!$H$7+J42*'02_假设与情景'!$H$8+K42*'02_假设与情景'!$H$9+L42*'02_假设与情景'!$H$10+M42*'02_假设与情景'!$H$11,0)</x:f>
        <x:v>7.6499999999999995</x:v>
      </x:c>
      <x:c r="Q42" s="64" t="str">
        <x:f>IF(N42&lt;&gt;"PASS","不推荐-需再验证",IF(P42&gt;=8,"优先候选",IF(P42&gt;=7,"可询价","备选")))</x:f>
        <x:v>可询价</x:v>
      </x:c>
      <x:c r="R42" s="12" t="str">
        <x:v>SRC-027</x:v>
      </x:c>
      <x:c r="S42" s="12" t="str">
        <x:v>进入同规格询价和总拥有成本比较</x:v>
      </x:c>
    </x:row>
    <x:row r="43">
      <x:c r="A43" t="str">
        <x:v>ALT-038</x:v>
      </x:c>
      <x:c r="B43" t="str">
        <x:v>CAPEX-019</x:v>
      </x:c>
      <x:c r="C43" t="str">
        <x:v>柴油发电机及ATS</x:v>
      </x:c>
      <x:c r="D43" t="str">
        <x:v>品质优选：头部品牌全服务包</x:v>
      </x:c>
      <x:c r="E43" t="str">
        <x:v>头部品牌/专业服务商</x:v>
      </x:c>
      <x:c r="F43" s="51" t="n">
        <x:v>220000</x:v>
      </x:c>
      <x:c r="G43" s="51" t="n">
        <x:v>259600</x:v>
      </x:c>
      <x:c r="H43" s="60" t="n">
        <x:f>IF(G43=0,0,MIN(10,10*F43/G43))</x:f>
        <x:v>8.474576271186441</x:v>
      </x:c>
      <x:c r="I43" s="53" t="n">
        <x:v>9</x:v>
      </x:c>
      <x:c r="J43" s="53" t="n">
        <x:v>9</x:v>
      </x:c>
      <x:c r="K43" s="53" t="n">
        <x:v>7</x:v>
      </x:c>
      <x:c r="L43" s="53" t="n">
        <x:v>9</x:v>
      </x:c>
      <x:c r="M43" s="53" t="n">
        <x:v>3</x:v>
      </x:c>
      <x:c r="N43" s="53" t="str">
        <x:v>PASS</x:v>
      </x:c>
      <x:c r="O43" s="62" t="str">
        <x:v>需核对规格、税费、安装和售后边界</x:v>
      </x:c>
      <x:c r="P43" s="63" t="n">
        <x:f>IF(N43="PASS",H43*'02_假设与情景'!$H$6+I43*'02_假设与情景'!$H$7+J43*'02_假设与情景'!$H$8+K43*'02_假设与情景'!$H$9+L43*'02_假设与情景'!$H$10+M43*'02_假设与情景'!$H$11,0)</x:f>
        <x:v>8.042372881355933</x:v>
      </x:c>
      <x:c r="Q43" s="64" t="str">
        <x:f>IF(N43&lt;&gt;"PASS","不推荐-需再验证",IF(P43&gt;=8,"优先候选",IF(P43&gt;=7,"可询价","备选")))</x:f>
        <x:v>优先候选</x:v>
      </x:c>
      <x:c r="R43" s="12" t="str">
        <x:v>SRC-027</x:v>
      </x:c>
      <x:c r="S43" s="12" t="str">
        <x:v>进入同规格询价和总拥有成本比较</x:v>
      </x:c>
    </x:row>
    <x:row r="44">
      <x:c r="A44" t="str">
        <x:v>ALT-039</x:v>
      </x:c>
      <x:c r="B44" t="str">
        <x:v>CAPEX-020</x:v>
      </x:c>
      <x:c r="C44" t="str">
        <x:v>消防、门禁、监控及报警</x:v>
      </x:c>
      <x:c r="D44" t="str">
        <x:v>成本优选：同规格国产合规供应商双询价</x:v>
      </x:c>
      <x:c r="E44" t="str">
        <x:v>国产/本地供应链</x:v>
      </x:c>
      <x:c r="F44" s="51" t="n">
        <x:v>180000</x:v>
      </x:c>
      <x:c r="G44" s="51" t="n">
        <x:v>153000</x:v>
      </x:c>
      <x:c r="H44" s="60" t="n">
        <x:f>IF(G44=0,0,MIN(10,10*F44/G44))</x:f>
        <x:v>10</x:v>
      </x:c>
      <x:c r="I44" s="53" t="n">
        <x:v>7</x:v>
      </x:c>
      <x:c r="J44" s="53" t="n">
        <x:v>8</x:v>
      </x:c>
      <x:c r="K44" s="53" t="n">
        <x:v>8</x:v>
      </x:c>
      <x:c r="L44" s="53" t="n">
        <x:v>6</x:v>
      </x:c>
      <x:c r="M44" s="53" t="n">
        <x:v>3</x:v>
      </x:c>
      <x:c r="N44" s="53" t="str">
        <x:v>PASS</x:v>
      </x:c>
      <x:c r="O44" s="62" t="str">
        <x:v>需核对规格、税费、安装和售后边界</x:v>
      </x:c>
      <x:c r="P44" s="63" t="n">
        <x:f>IF(N44="PASS",H44*'02_假设与情景'!$H$6+I44*'02_假设与情景'!$H$7+J44*'02_假设与情景'!$H$8+K44*'02_假设与情景'!$H$9+L44*'02_假设与情景'!$H$10+M44*'02_假设与情景'!$H$11,0)</x:f>
        <x:v>7.6499999999999995</x:v>
      </x:c>
      <x:c r="Q44" s="64" t="str">
        <x:f>IF(N44&lt;&gt;"PASS","不推荐-需再验证",IF(P44&gt;=8,"优先候选",IF(P44&gt;=7,"可询价","备选")))</x:f>
        <x:v>可询价</x:v>
      </x:c>
      <x:c r="R44" s="12" t="str">
        <x:v>SRC-031</x:v>
      </x:c>
      <x:c r="S44" s="12" t="str">
        <x:v>进入同规格询价和总拥有成本比较</x:v>
      </x:c>
    </x:row>
    <x:row r="45">
      <x:c r="A45" t="str">
        <x:v>ALT-040</x:v>
      </x:c>
      <x:c r="B45" t="str">
        <x:v>CAPEX-020</x:v>
      </x:c>
      <x:c r="C45" t="str">
        <x:v>消防、门禁、监控及报警</x:v>
      </x:c>
      <x:c r="D45" t="str">
        <x:v>品质优选：头部品牌全服务包</x:v>
      </x:c>
      <x:c r="E45" t="str">
        <x:v>头部品牌/专业服务商</x:v>
      </x:c>
      <x:c r="F45" s="51" t="n">
        <x:v>180000</x:v>
      </x:c>
      <x:c r="G45" s="51" t="n">
        <x:v>212400</x:v>
      </x:c>
      <x:c r="H45" s="60" t="n">
        <x:f>IF(G45=0,0,MIN(10,10*F45/G45))</x:f>
        <x:v>8.474576271186441</x:v>
      </x:c>
      <x:c r="I45" s="53" t="n">
        <x:v>9</x:v>
      </x:c>
      <x:c r="J45" s="53" t="n">
        <x:v>9</x:v>
      </x:c>
      <x:c r="K45" s="53" t="n">
        <x:v>7</x:v>
      </x:c>
      <x:c r="L45" s="53" t="n">
        <x:v>9</x:v>
      </x:c>
      <x:c r="M45" s="53" t="n">
        <x:v>3</x:v>
      </x:c>
      <x:c r="N45" s="53" t="str">
        <x:v>PASS</x:v>
      </x:c>
      <x:c r="O45" s="62" t="str">
        <x:v>需核对规格、税费、安装和售后边界</x:v>
      </x:c>
      <x:c r="P45" s="63" t="n">
        <x:f>IF(N45="PASS",H45*'02_假设与情景'!$H$6+I45*'02_假设与情景'!$H$7+J45*'02_假设与情景'!$H$8+K45*'02_假设与情景'!$H$9+L45*'02_假设与情景'!$H$10+M45*'02_假设与情景'!$H$11,0)</x:f>
        <x:v>8.042372881355933</x:v>
      </x:c>
      <x:c r="Q45" s="64" t="str">
        <x:f>IF(N45&lt;&gt;"PASS","不推荐-需再验证",IF(P45&gt;=8,"优先候选",IF(P45&gt;=7,"可询价","备选")))</x:f>
        <x:v>优先候选</x:v>
      </x:c>
      <x:c r="R45" s="12" t="str">
        <x:v>SRC-031</x:v>
      </x:c>
      <x:c r="S45" s="12" t="str">
        <x:v>进入同规格询价和总拥有成本比较</x:v>
      </x:c>
    </x:row>
    <x:row r="46">
      <x:c r="A46" t="str">
        <x:v>ALT-041</x:v>
      </x:c>
      <x:c r="B46" t="str">
        <x:v>CAPEX-021</x:v>
      </x:c>
      <x:c r="C46" t="str">
        <x:v>-20C原料冷库</x:v>
      </x:c>
      <x:c r="D46" t="str">
        <x:v>成本优选：同规格国产合规供应商双询价</x:v>
      </x:c>
      <x:c r="E46" t="str">
        <x:v>国产/本地供应链</x:v>
      </x:c>
      <x:c r="F46" s="51" t="n">
        <x:v>4500</x:v>
      </x:c>
      <x:c r="G46" s="51" t="n">
        <x:v>3825</x:v>
      </x:c>
      <x:c r="H46" s="60" t="n">
        <x:f>IF(G46=0,0,MIN(10,10*F46/G46))</x:f>
        <x:v>10</x:v>
      </x:c>
      <x:c r="I46" s="53" t="n">
        <x:v>7</x:v>
      </x:c>
      <x:c r="J46" s="53" t="n">
        <x:v>8</x:v>
      </x:c>
      <x:c r="K46" s="53" t="n">
        <x:v>8</x:v>
      </x:c>
      <x:c r="L46" s="53" t="n">
        <x:v>6</x:v>
      </x:c>
      <x:c r="M46" s="53" t="n">
        <x:v>4</x:v>
      </x:c>
      <x:c r="N46" s="53" t="str">
        <x:v>PASS</x:v>
      </x:c>
      <x:c r="O46" s="62" t="str">
        <x:v>需核对规格、税费、安装和售后边界</x:v>
      </x:c>
      <x:c r="P46" s="63" t="n">
        <x:f>IF(N46="PASS",H46*'02_假设与情景'!$H$6+I46*'02_假设与情景'!$H$7+J46*'02_假设与情景'!$H$8+K46*'02_假设与情景'!$H$9+L46*'02_假设与情景'!$H$10+M46*'02_假设与情景'!$H$11,0)</x:f>
        <x:v>7.75</x:v>
      </x:c>
      <x:c r="Q46" s="64" t="str">
        <x:f>IF(N46&lt;&gt;"PASS","不推荐-需再验证",IF(P46&gt;=8,"优先候选",IF(P46&gt;=7,"可询价","备选")))</x:f>
        <x:v>可询价</x:v>
      </x:c>
      <x:c r="R46" s="12" t="str">
        <x:v>SRC-024</x:v>
      </x:c>
      <x:c r="S46" s="12" t="str">
        <x:v>进入同规格询价和总拥有成本比较</x:v>
      </x:c>
    </x:row>
    <x:row r="47">
      <x:c r="A47" t="str">
        <x:v>ALT-042</x:v>
      </x:c>
      <x:c r="B47" t="str">
        <x:v>CAPEX-021</x:v>
      </x:c>
      <x:c r="C47" t="str">
        <x:v>-20C原料冷库</x:v>
      </x:c>
      <x:c r="D47" t="str">
        <x:v>品质优选：头部品牌全服务包</x:v>
      </x:c>
      <x:c r="E47" t="str">
        <x:v>头部品牌/专业服务商</x:v>
      </x:c>
      <x:c r="F47" s="51" t="n">
        <x:v>4500</x:v>
      </x:c>
      <x:c r="G47" s="51" t="n">
        <x:v>5310</x:v>
      </x:c>
      <x:c r="H47" s="60" t="n">
        <x:f>IF(G47=0,0,MIN(10,10*F47/G47))</x:f>
        <x:v>8.474576271186441</x:v>
      </x:c>
      <x:c r="I47" s="53" t="n">
        <x:v>9</x:v>
      </x:c>
      <x:c r="J47" s="53" t="n">
        <x:v>9</x:v>
      </x:c>
      <x:c r="K47" s="53" t="n">
        <x:v>7</x:v>
      </x:c>
      <x:c r="L47" s="53" t="n">
        <x:v>9</x:v>
      </x:c>
      <x:c r="M47" s="53" t="n">
        <x:v>4</x:v>
      </x:c>
      <x:c r="N47" s="53" t="str">
        <x:v>PASS</x:v>
      </x:c>
      <x:c r="O47" s="62" t="str">
        <x:v>需核对规格、税费、安装和售后边界</x:v>
      </x:c>
      <x:c r="P47" s="63" t="n">
        <x:f>IF(N47="PASS",H47*'02_假设与情景'!$H$6+I47*'02_假设与情景'!$H$7+J47*'02_假设与情景'!$H$8+K47*'02_假设与情景'!$H$9+L47*'02_假设与情景'!$H$10+M47*'02_假设与情景'!$H$11,0)</x:f>
        <x:v>8.142372881355932</x:v>
      </x:c>
      <x:c r="Q47" s="64" t="str">
        <x:f>IF(N47&lt;&gt;"PASS","不推荐-需再验证",IF(P47&gt;=8,"优先候选",IF(P47&gt;=7,"可询价","备选")))</x:f>
        <x:v>优先候选</x:v>
      </x:c>
      <x:c r="R47" s="12" t="str">
        <x:v>SRC-024</x:v>
      </x:c>
      <x:c r="S47" s="12" t="str">
        <x:v>进入同规格询价和总拥有成本比较</x:v>
      </x:c>
    </x:row>
    <x:row r="48">
      <x:c r="A48" t="str">
        <x:v>ALT-043</x:v>
      </x:c>
      <x:c r="B48" t="str">
        <x:v>CAPEX-022</x:v>
      </x:c>
      <x:c r="C48" t="str">
        <x:v>-20C避光成品冷库</x:v>
      </x:c>
      <x:c r="D48" t="str">
        <x:v>成本优选：同规格国产合规供应商双询价</x:v>
      </x:c>
      <x:c r="E48" t="str">
        <x:v>国产/本地供应链</x:v>
      </x:c>
      <x:c r="F48" s="51" t="n">
        <x:v>4800</x:v>
      </x:c>
      <x:c r="G48" s="51" t="n">
        <x:v>4080</x:v>
      </x:c>
      <x:c r="H48" s="60" t="n">
        <x:f>IF(G48=0,0,MIN(10,10*F48/G48))</x:f>
        <x:v>10</x:v>
      </x:c>
      <x:c r="I48" s="53" t="n">
        <x:v>7</x:v>
      </x:c>
      <x:c r="J48" s="53" t="n">
        <x:v>8</x:v>
      </x:c>
      <x:c r="K48" s="53" t="n">
        <x:v>8</x:v>
      </x:c>
      <x:c r="L48" s="53" t="n">
        <x:v>6</x:v>
      </x:c>
      <x:c r="M48" s="53" t="n">
        <x:v>4</x:v>
      </x:c>
      <x:c r="N48" s="53" t="str">
        <x:v>PASS</x:v>
      </x:c>
      <x:c r="O48" s="62" t="str">
        <x:v>需核对规格、税费、安装和售后边界</x:v>
      </x:c>
      <x:c r="P48" s="63" t="n">
        <x:f>IF(N48="PASS",H48*'02_假设与情景'!$H$6+I48*'02_假设与情景'!$H$7+J48*'02_假设与情景'!$H$8+K48*'02_假设与情景'!$H$9+L48*'02_假设与情景'!$H$10+M48*'02_假设与情景'!$H$11,0)</x:f>
        <x:v>7.75</x:v>
      </x:c>
      <x:c r="Q48" s="64" t="str">
        <x:f>IF(N48&lt;&gt;"PASS","不推荐-需再验证",IF(P48&gt;=8,"优先候选",IF(P48&gt;=7,"可询价","备选")))</x:f>
        <x:v>可询价</x:v>
      </x:c>
      <x:c r="R48" s="12" t="str">
        <x:v>SRC-024</x:v>
      </x:c>
      <x:c r="S48" s="12" t="str">
        <x:v>进入同规格询价和总拥有成本比较</x:v>
      </x:c>
    </x:row>
    <x:row r="49">
      <x:c r="A49" t="str">
        <x:v>ALT-044</x:v>
      </x:c>
      <x:c r="B49" t="str">
        <x:v>CAPEX-022</x:v>
      </x:c>
      <x:c r="C49" t="str">
        <x:v>-20C避光成品冷库</x:v>
      </x:c>
      <x:c r="D49" t="str">
        <x:v>品质优选：头部品牌全服务包</x:v>
      </x:c>
      <x:c r="E49" t="str">
        <x:v>头部品牌/专业服务商</x:v>
      </x:c>
      <x:c r="F49" s="51" t="n">
        <x:v>4800</x:v>
      </x:c>
      <x:c r="G49" s="51" t="n">
        <x:v>5664</x:v>
      </x:c>
      <x:c r="H49" s="60" t="n">
        <x:f>IF(G49=0,0,MIN(10,10*F49/G49))</x:f>
        <x:v>8.474576271186441</x:v>
      </x:c>
      <x:c r="I49" s="53" t="n">
        <x:v>9</x:v>
      </x:c>
      <x:c r="J49" s="53" t="n">
        <x:v>9</x:v>
      </x:c>
      <x:c r="K49" s="53" t="n">
        <x:v>7</x:v>
      </x:c>
      <x:c r="L49" s="53" t="n">
        <x:v>9</x:v>
      </x:c>
      <x:c r="M49" s="53" t="n">
        <x:v>4</x:v>
      </x:c>
      <x:c r="N49" s="53" t="str">
        <x:v>PASS</x:v>
      </x:c>
      <x:c r="O49" s="62" t="str">
        <x:v>需核对规格、税费、安装和售后边界</x:v>
      </x:c>
      <x:c r="P49" s="63" t="n">
        <x:f>IF(N49="PASS",H49*'02_假设与情景'!$H$6+I49*'02_假设与情景'!$H$7+J49*'02_假设与情景'!$H$8+K49*'02_假设与情景'!$H$9+L49*'02_假设与情景'!$H$10+M49*'02_假设与情景'!$H$11,0)</x:f>
        <x:v>8.142372881355932</x:v>
      </x:c>
      <x:c r="Q49" s="64" t="str">
        <x:f>IF(N49&lt;&gt;"PASS","不推荐-需再验证",IF(P49&gt;=8,"优先候选",IF(P49&gt;=7,"可询价","备选")))</x:f>
        <x:v>优先候选</x:v>
      </x:c>
      <x:c r="R49" s="12" t="str">
        <x:v>SRC-024</x:v>
      </x:c>
      <x:c r="S49" s="12" t="str">
        <x:v>进入同规格询价和总拥有成本比较</x:v>
      </x:c>
    </x:row>
    <x:row r="50">
      <x:c r="A50" t="str">
        <x:v>ALT-045</x:v>
      </x:c>
      <x:c r="B50" t="str">
        <x:v>CAPEX-023</x:v>
      </x:c>
      <x:c r="C50" t="str">
        <x:v>2-8C原料及半成品库</x:v>
      </x:c>
      <x:c r="D50" t="str">
        <x:v>成本优选：同规格国产合规供应商双询价</x:v>
      </x:c>
      <x:c r="E50" t="str">
        <x:v>国产/本地供应链</x:v>
      </x:c>
      <x:c r="F50" s="51" t="n">
        <x:v>2800</x:v>
      </x:c>
      <x:c r="G50" s="51" t="n">
        <x:v>2380</x:v>
      </x:c>
      <x:c r="H50" s="60" t="n">
        <x:f>IF(G50=0,0,MIN(10,10*F50/G50))</x:f>
        <x:v>10</x:v>
      </x:c>
      <x:c r="I50" s="53" t="n">
        <x:v>7</x:v>
      </x:c>
      <x:c r="J50" s="53" t="n">
        <x:v>8</x:v>
      </x:c>
      <x:c r="K50" s="53" t="n">
        <x:v>8</x:v>
      </x:c>
      <x:c r="L50" s="53" t="n">
        <x:v>6</x:v>
      </x:c>
      <x:c r="M50" s="53" t="n">
        <x:v>4</x:v>
      </x:c>
      <x:c r="N50" s="53" t="str">
        <x:v>PASS</x:v>
      </x:c>
      <x:c r="O50" s="62" t="str">
        <x:v>需核对规格、税费、安装和售后边界</x:v>
      </x:c>
      <x:c r="P50" s="63" t="n">
        <x:f>IF(N50="PASS",H50*'02_假设与情景'!$H$6+I50*'02_假设与情景'!$H$7+J50*'02_假设与情景'!$H$8+K50*'02_假设与情景'!$H$9+L50*'02_假设与情景'!$H$10+M50*'02_假设与情景'!$H$11,0)</x:f>
        <x:v>7.75</x:v>
      </x:c>
      <x:c r="Q50" s="64" t="str">
        <x:f>IF(N50&lt;&gt;"PASS","不推荐-需再验证",IF(P50&gt;=8,"优先候选",IF(P50&gt;=7,"可询价","备选")))</x:f>
        <x:v>可询价</x:v>
      </x:c>
      <x:c r="R50" s="12" t="str">
        <x:v>SRC-024</x:v>
      </x:c>
      <x:c r="S50" s="12" t="str">
        <x:v>进入同规格询价和总拥有成本比较</x:v>
      </x:c>
    </x:row>
    <x:row r="51">
      <x:c r="A51" t="str">
        <x:v>ALT-046</x:v>
      </x:c>
      <x:c r="B51" t="str">
        <x:v>CAPEX-023</x:v>
      </x:c>
      <x:c r="C51" t="str">
        <x:v>2-8C原料及半成品库</x:v>
      </x:c>
      <x:c r="D51" t="str">
        <x:v>品质优选：头部品牌全服务包</x:v>
      </x:c>
      <x:c r="E51" t="str">
        <x:v>头部品牌/专业服务商</x:v>
      </x:c>
      <x:c r="F51" s="51" t="n">
        <x:v>2800</x:v>
      </x:c>
      <x:c r="G51" s="51" t="n">
        <x:v>3304</x:v>
      </x:c>
      <x:c r="H51" s="60" t="n">
        <x:f>IF(G51=0,0,MIN(10,10*F51/G51))</x:f>
        <x:v>8.474576271186441</x:v>
      </x:c>
      <x:c r="I51" s="53" t="n">
        <x:v>9</x:v>
      </x:c>
      <x:c r="J51" s="53" t="n">
        <x:v>9</x:v>
      </x:c>
      <x:c r="K51" s="53" t="n">
        <x:v>7</x:v>
      </x:c>
      <x:c r="L51" s="53" t="n">
        <x:v>9</x:v>
      </x:c>
      <x:c r="M51" s="53" t="n">
        <x:v>4</x:v>
      </x:c>
      <x:c r="N51" s="53" t="str">
        <x:v>PASS</x:v>
      </x:c>
      <x:c r="O51" s="62" t="str">
        <x:v>需核对规格、税费、安装和售后边界</x:v>
      </x:c>
      <x:c r="P51" s="63" t="n">
        <x:f>IF(N51="PASS",H51*'02_假设与情景'!$H$6+I51*'02_假设与情景'!$H$7+J51*'02_假设与情景'!$H$8+K51*'02_假设与情景'!$H$9+L51*'02_假设与情景'!$H$10+M51*'02_假设与情景'!$H$11,0)</x:f>
        <x:v>8.142372881355932</x:v>
      </x:c>
      <x:c r="Q51" s="64" t="str">
        <x:f>IF(N51&lt;&gt;"PASS","不推荐-需再验证",IF(P51&gt;=8,"优先候选",IF(P51&gt;=7,"可询价","备选")))</x:f>
        <x:v>优先候选</x:v>
      </x:c>
      <x:c r="R51" s="12" t="str">
        <x:v>SRC-024</x:v>
      </x:c>
      <x:c r="S51" s="12" t="str">
        <x:v>进入同规格询价和总拥有成本比较</x:v>
      </x:c>
    </x:row>
    <x:row r="52">
      <x:c r="A52" t="str">
        <x:v>ALT-047</x:v>
      </x:c>
      <x:c r="B52" t="str">
        <x:v>CAPEX-024</x:v>
      </x:c>
      <x:c r="C52" t="str">
        <x:v>冷库温度监控报警与记录</x:v>
      </x:c>
      <x:c r="D52" t="str">
        <x:v>成本优选：同规格国产合规供应商双询价</x:v>
      </x:c>
      <x:c r="E52" t="str">
        <x:v>国产/本地供应链</x:v>
      </x:c>
      <x:c r="F52" s="51" t="n">
        <x:v>80000</x:v>
      </x:c>
      <x:c r="G52" s="51" t="n">
        <x:v>68000</x:v>
      </x:c>
      <x:c r="H52" s="60" t="n">
        <x:f>IF(G52=0,0,MIN(10,10*F52/G52))</x:f>
        <x:v>10</x:v>
      </x:c>
      <x:c r="I52" s="53" t="n">
        <x:v>7</x:v>
      </x:c>
      <x:c r="J52" s="53" t="n">
        <x:v>8</x:v>
      </x:c>
      <x:c r="K52" s="53" t="n">
        <x:v>8</x:v>
      </x:c>
      <x:c r="L52" s="53" t="n">
        <x:v>6</x:v>
      </x:c>
      <x:c r="M52" s="53" t="n">
        <x:v>3</x:v>
      </x:c>
      <x:c r="N52" s="53" t="str">
        <x:v>PASS</x:v>
      </x:c>
      <x:c r="O52" s="62" t="str">
        <x:v>需核对规格、税费、安装和售后边界</x:v>
      </x:c>
      <x:c r="P52" s="63" t="n">
        <x:f>IF(N52="PASS",H52*'02_假设与情景'!$H$6+I52*'02_假设与情景'!$H$7+J52*'02_假设与情景'!$H$8+K52*'02_假设与情景'!$H$9+L52*'02_假设与情景'!$H$10+M52*'02_假设与情景'!$H$11,0)</x:f>
        <x:v>7.6499999999999995</x:v>
      </x:c>
      <x:c r="Q52" s="64" t="str">
        <x:f>IF(N52&lt;&gt;"PASS","不推荐-需再验证",IF(P52&gt;=8,"优先候选",IF(P52&gt;=7,"可询价","备选")))</x:f>
        <x:v>可询价</x:v>
      </x:c>
      <x:c r="R52" s="12" t="str">
        <x:v>SRC-024</x:v>
      </x:c>
      <x:c r="S52" s="12" t="str">
        <x:v>进入同规格询价和总拥有成本比较</x:v>
      </x:c>
    </x:row>
    <x:row r="53">
      <x:c r="A53" t="str">
        <x:v>ALT-048</x:v>
      </x:c>
      <x:c r="B53" t="str">
        <x:v>CAPEX-024</x:v>
      </x:c>
      <x:c r="C53" t="str">
        <x:v>冷库温度监控报警与记录</x:v>
      </x:c>
      <x:c r="D53" t="str">
        <x:v>品质优选：头部品牌全服务包</x:v>
      </x:c>
      <x:c r="E53" t="str">
        <x:v>头部品牌/专业服务商</x:v>
      </x:c>
      <x:c r="F53" s="51" t="n">
        <x:v>80000</x:v>
      </x:c>
      <x:c r="G53" s="51" t="n">
        <x:v>94400</x:v>
      </x:c>
      <x:c r="H53" s="60" t="n">
        <x:f>IF(G53=0,0,MIN(10,10*F53/G53))</x:f>
        <x:v>8.474576271186441</x:v>
      </x:c>
      <x:c r="I53" s="53" t="n">
        <x:v>9</x:v>
      </x:c>
      <x:c r="J53" s="53" t="n">
        <x:v>9</x:v>
      </x:c>
      <x:c r="K53" s="53" t="n">
        <x:v>7</x:v>
      </x:c>
      <x:c r="L53" s="53" t="n">
        <x:v>9</x:v>
      </x:c>
      <x:c r="M53" s="53" t="n">
        <x:v>3</x:v>
      </x:c>
      <x:c r="N53" s="53" t="str">
        <x:v>PASS</x:v>
      </x:c>
      <x:c r="O53" s="62" t="str">
        <x:v>需核对规格、税费、安装和售后边界</x:v>
      </x:c>
      <x:c r="P53" s="63" t="n">
        <x:f>IF(N53="PASS",H53*'02_假设与情景'!$H$6+I53*'02_假设与情景'!$H$7+J53*'02_假设与情景'!$H$8+K53*'02_假设与情景'!$H$9+L53*'02_假设与情景'!$H$10+M53*'02_假设与情景'!$H$11,0)</x:f>
        <x:v>8.042372881355933</x:v>
      </x:c>
      <x:c r="Q53" s="64" t="str">
        <x:f>IF(N53&lt;&gt;"PASS","不推荐-需再验证",IF(P53&gt;=8,"优先候选",IF(P53&gt;=7,"可询价","备选")))</x:f>
        <x:v>优先候选</x:v>
      </x:c>
      <x:c r="R53" s="12" t="str">
        <x:v>SRC-024</x:v>
      </x:c>
      <x:c r="S53" s="12" t="str">
        <x:v>进入同规格询价和总拥有成本比较</x:v>
      </x:c>
    </x:row>
    <x:row r="54">
      <x:c r="A54" t="str">
        <x:v>ALT-049</x:v>
      </x:c>
      <x:c r="B54" t="str">
        <x:v>CAPEX-025</x:v>
      </x:c>
      <x:c r="C54" t="str">
        <x:v>PCR Mix低温配液系统</x:v>
      </x:c>
      <x:c r="D54" t="str">
        <x:v>成本优选：同规格国产合规供应商双询价</x:v>
      </x:c>
      <x:c r="E54" t="str">
        <x:v>国产/本地供应链</x:v>
      </x:c>
      <x:c r="F54" s="51" t="n">
        <x:v>120000</x:v>
      </x:c>
      <x:c r="G54" s="51" t="n">
        <x:v>102000</x:v>
      </x:c>
      <x:c r="H54" s="60" t="n">
        <x:f>IF(G54=0,0,MIN(10,10*F54/G54))</x:f>
        <x:v>10</x:v>
      </x:c>
      <x:c r="I54" s="53" t="n">
        <x:v>7</x:v>
      </x:c>
      <x:c r="J54" s="53" t="n">
        <x:v>8</x:v>
      </x:c>
      <x:c r="K54" s="53" t="n">
        <x:v>8</x:v>
      </x:c>
      <x:c r="L54" s="53" t="n">
        <x:v>6</x:v>
      </x:c>
      <x:c r="M54" s="53" t="n">
        <x:v>2</x:v>
      </x:c>
      <x:c r="N54" s="53" t="str">
        <x:v>PASS</x:v>
      </x:c>
      <x:c r="O54" s="62" t="str">
        <x:v>需核对规格、税费、安装和售后边界</x:v>
      </x:c>
      <x:c r="P54" s="63" t="n">
        <x:f>IF(N54="PASS",H54*'02_假设与情景'!$H$6+I54*'02_假设与情景'!$H$7+J54*'02_假设与情景'!$H$8+K54*'02_假设与情景'!$H$9+L54*'02_假设与情景'!$H$10+M54*'02_假设与情景'!$H$11,0)</x:f>
        <x:v>7.55</x:v>
      </x:c>
      <x:c r="Q54" s="64" t="str">
        <x:f>IF(N54&lt;&gt;"PASS","不推荐-需再验证",IF(P54&gt;=8,"优先候选",IF(P54&gt;=7,"可询价","备选")))</x:f>
        <x:v>可询价</x:v>
      </x:c>
      <x:c r="R54" s="12" t="str">
        <x:v>SRC-031</x:v>
      </x:c>
      <x:c r="S54" s="12" t="str">
        <x:v>进入同规格询价和总拥有成本比较</x:v>
      </x:c>
    </x:row>
    <x:row r="55">
      <x:c r="A55" t="str">
        <x:v>ALT-050</x:v>
      </x:c>
      <x:c r="B55" t="str">
        <x:v>CAPEX-025</x:v>
      </x:c>
      <x:c r="C55" t="str">
        <x:v>PCR Mix低温配液系统</x:v>
      </x:c>
      <x:c r="D55" t="str">
        <x:v>品质优选：头部品牌全服务包</x:v>
      </x:c>
      <x:c r="E55" t="str">
        <x:v>头部品牌/专业服务商</x:v>
      </x:c>
      <x:c r="F55" s="51" t="n">
        <x:v>120000</x:v>
      </x:c>
      <x:c r="G55" s="51" t="n">
        <x:v>141600</x:v>
      </x:c>
      <x:c r="H55" s="60" t="n">
        <x:f>IF(G55=0,0,MIN(10,10*F55/G55))</x:f>
        <x:v>8.474576271186441</x:v>
      </x:c>
      <x:c r="I55" s="53" t="n">
        <x:v>9</x:v>
      </x:c>
      <x:c r="J55" s="53" t="n">
        <x:v>9</x:v>
      </x:c>
      <x:c r="K55" s="53" t="n">
        <x:v>7</x:v>
      </x:c>
      <x:c r="L55" s="53" t="n">
        <x:v>9</x:v>
      </x:c>
      <x:c r="M55" s="53" t="n">
        <x:v>3</x:v>
      </x:c>
      <x:c r="N55" s="53" t="str">
        <x:v>PASS</x:v>
      </x:c>
      <x:c r="O55" s="62" t="str">
        <x:v>需核对规格、税费、安装和售后边界</x:v>
      </x:c>
      <x:c r="P55" s="63" t="n">
        <x:f>IF(N55="PASS",H55*'02_假设与情景'!$H$6+I55*'02_假设与情景'!$H$7+J55*'02_假设与情景'!$H$8+K55*'02_假设与情景'!$H$9+L55*'02_假设与情景'!$H$10+M55*'02_假设与情景'!$H$11,0)</x:f>
        <x:v>8.042372881355933</x:v>
      </x:c>
      <x:c r="Q55" s="64" t="str">
        <x:f>IF(N55&lt;&gt;"PASS","不推荐-需再验证",IF(P55&gt;=8,"优先候选",IF(P55&gt;=7,"可询价","备选")))</x:f>
        <x:v>优先候选</x:v>
      </x:c>
      <x:c r="R55" s="12" t="str">
        <x:v>SRC-031</x:v>
      </x:c>
      <x:c r="S55" s="12" t="str">
        <x:v>进入同规格询价和总拥有成本比较</x:v>
      </x:c>
    </x:row>
    <x:row r="56">
      <x:c r="A56" t="str">
        <x:v>ALT-051</x:v>
      </x:c>
      <x:c r="B56" t="str">
        <x:v>CAPEX-026</x:v>
      </x:c>
      <x:c r="C56" t="str">
        <x:v>CD催化预混液避光配液系统</x:v>
      </x:c>
      <x:c r="D56" t="str">
        <x:v>成本优选：同规格国产合规供应商双询价</x:v>
      </x:c>
      <x:c r="E56" t="str">
        <x:v>国产/本地供应链</x:v>
      </x:c>
      <x:c r="F56" s="51" t="n">
        <x:v>180000</x:v>
      </x:c>
      <x:c r="G56" s="51" t="n">
        <x:v>153000</x:v>
      </x:c>
      <x:c r="H56" s="60" t="n">
        <x:f>IF(G56=0,0,MIN(10,10*F56/G56))</x:f>
        <x:v>10</x:v>
      </x:c>
      <x:c r="I56" s="53" t="n">
        <x:v>7</x:v>
      </x:c>
      <x:c r="J56" s="53" t="n">
        <x:v>8</x:v>
      </x:c>
      <x:c r="K56" s="53" t="n">
        <x:v>8</x:v>
      </x:c>
      <x:c r="L56" s="53" t="n">
        <x:v>6</x:v>
      </x:c>
      <x:c r="M56" s="53" t="n">
        <x:v>2</x:v>
      </x:c>
      <x:c r="N56" s="53" t="str">
        <x:v>PASS</x:v>
      </x:c>
      <x:c r="O56" s="62" t="str">
        <x:v>需核对规格、税费、安装和售后边界</x:v>
      </x:c>
      <x:c r="P56" s="63" t="n">
        <x:f>IF(N56="PASS",H56*'02_假设与情景'!$H$6+I56*'02_假设与情景'!$H$7+J56*'02_假设与情景'!$H$8+K56*'02_假设与情景'!$H$9+L56*'02_假设与情景'!$H$10+M56*'02_假设与情景'!$H$11,0)</x:f>
        <x:v>7.55</x:v>
      </x:c>
      <x:c r="Q56" s="64" t="str">
        <x:f>IF(N56&lt;&gt;"PASS","不推荐-需再验证",IF(P56&gt;=8,"优先候选",IF(P56&gt;=7,"可询价","备选")))</x:f>
        <x:v>可询价</x:v>
      </x:c>
      <x:c r="R56" s="12" t="str">
        <x:v>SRC-031</x:v>
      </x:c>
      <x:c r="S56" s="12" t="str">
        <x:v>进入同规格询价和总拥有成本比较</x:v>
      </x:c>
    </x:row>
    <x:row r="57">
      <x:c r="A57" t="str">
        <x:v>ALT-052</x:v>
      </x:c>
      <x:c r="B57" t="str">
        <x:v>CAPEX-026</x:v>
      </x:c>
      <x:c r="C57" t="str">
        <x:v>CD催化预混液避光配液系统</x:v>
      </x:c>
      <x:c r="D57" t="str">
        <x:v>品质优选：头部品牌全服务包</x:v>
      </x:c>
      <x:c r="E57" t="str">
        <x:v>头部品牌/专业服务商</x:v>
      </x:c>
      <x:c r="F57" s="51" t="n">
        <x:v>180000</x:v>
      </x:c>
      <x:c r="G57" s="51" t="n">
        <x:v>212400</x:v>
      </x:c>
      <x:c r="H57" s="60" t="n">
        <x:f>IF(G57=0,0,MIN(10,10*F57/G57))</x:f>
        <x:v>8.474576271186441</x:v>
      </x:c>
      <x:c r="I57" s="53" t="n">
        <x:v>9</x:v>
      </x:c>
      <x:c r="J57" s="53" t="n">
        <x:v>9</x:v>
      </x:c>
      <x:c r="K57" s="53" t="n">
        <x:v>7</x:v>
      </x:c>
      <x:c r="L57" s="53" t="n">
        <x:v>9</x:v>
      </x:c>
      <x:c r="M57" s="53" t="n">
        <x:v>3</x:v>
      </x:c>
      <x:c r="N57" s="53" t="str">
        <x:v>PASS</x:v>
      </x:c>
      <x:c r="O57" s="62" t="str">
        <x:v>需核对规格、税费、安装和售后边界</x:v>
      </x:c>
      <x:c r="P57" s="63" t="n">
        <x:f>IF(N57="PASS",H57*'02_假设与情景'!$H$6+I57*'02_假设与情景'!$H$7+J57*'02_假设与情景'!$H$8+K57*'02_假设与情景'!$H$9+L57*'02_假设与情景'!$H$10+M57*'02_假设与情景'!$H$11,0)</x:f>
        <x:v>8.042372881355933</x:v>
      </x:c>
      <x:c r="Q57" s="64" t="str">
        <x:f>IF(N57&lt;&gt;"PASS","不推荐-需再验证",IF(P57&gt;=8,"优先候选",IF(P57&gt;=7,"可询价","备选")))</x:f>
        <x:v>优先候选</x:v>
      </x:c>
      <x:c r="R57" s="12" t="str">
        <x:v>SRC-031</x:v>
      </x:c>
      <x:c r="S57" s="12" t="str">
        <x:v>进入同规格询价和总拥有成本比较</x:v>
      </x:c>
    </x:row>
    <x:row r="58">
      <x:c r="A58" t="str">
        <x:v>ALT-053</x:v>
      </x:c>
      <x:c r="B58" t="str">
        <x:v>CAPEX-027</x:v>
      </x:c>
      <x:c r="C58" t="str">
        <x:v>质粒对照品负压操作台</x:v>
      </x:c>
      <x:c r="D58" t="str">
        <x:v>成本优选：同规格国产合规供应商双询价</x:v>
      </x:c>
      <x:c r="E58" t="str">
        <x:v>国产/本地供应链</x:v>
      </x:c>
      <x:c r="F58" s="51" t="n">
        <x:v>80000</x:v>
      </x:c>
      <x:c r="G58" s="51" t="n">
        <x:v>68000</x:v>
      </x:c>
      <x:c r="H58" s="60" t="n">
        <x:f>IF(G58=0,0,MIN(10,10*F58/G58))</x:f>
        <x:v>10</x:v>
      </x:c>
      <x:c r="I58" s="53" t="n">
        <x:v>7</x:v>
      </x:c>
      <x:c r="J58" s="53" t="n">
        <x:v>8</x:v>
      </x:c>
      <x:c r="K58" s="53" t="n">
        <x:v>8</x:v>
      </x:c>
      <x:c r="L58" s="53" t="n">
        <x:v>6</x:v>
      </x:c>
      <x:c r="M58" s="53" t="n">
        <x:v>4</x:v>
      </x:c>
      <x:c r="N58" s="53" t="str">
        <x:v>PASS</x:v>
      </x:c>
      <x:c r="O58" s="62" t="str">
        <x:v>需核对规格、税费、安装和售后边界</x:v>
      </x:c>
      <x:c r="P58" s="63" t="n">
        <x:f>IF(N58="PASS",H58*'02_假设与情景'!$H$6+I58*'02_假设与情景'!$H$7+J58*'02_假设与情景'!$H$8+K58*'02_假设与情景'!$H$9+L58*'02_假设与情景'!$H$10+M58*'02_假设与情景'!$H$11,0)</x:f>
        <x:v>7.75</x:v>
      </x:c>
      <x:c r="Q58" s="64" t="str">
        <x:f>IF(N58&lt;&gt;"PASS","不推荐-需再验证",IF(P58&gt;=8,"优先候选",IF(P58&gt;=7,"可询价","备选")))</x:f>
        <x:v>可询价</x:v>
      </x:c>
      <x:c r="R58" s="12" t="str">
        <x:v>SRC-023</x:v>
      </x:c>
      <x:c r="S58" s="12" t="str">
        <x:v>进入同规格询价和总拥有成本比较</x:v>
      </x:c>
    </x:row>
    <x:row r="59">
      <x:c r="A59" t="str">
        <x:v>ALT-054</x:v>
      </x:c>
      <x:c r="B59" t="str">
        <x:v>CAPEX-027</x:v>
      </x:c>
      <x:c r="C59" t="str">
        <x:v>质粒对照品负压操作台</x:v>
      </x:c>
      <x:c r="D59" t="str">
        <x:v>品质优选：头部品牌全服务包</x:v>
      </x:c>
      <x:c r="E59" t="str">
        <x:v>头部品牌/专业服务商</x:v>
      </x:c>
      <x:c r="F59" s="51" t="n">
        <x:v>80000</x:v>
      </x:c>
      <x:c r="G59" s="51" t="n">
        <x:v>94400</x:v>
      </x:c>
      <x:c r="H59" s="60" t="n">
        <x:f>IF(G59=0,0,MIN(10,10*F59/G59))</x:f>
        <x:v>8.474576271186441</x:v>
      </x:c>
      <x:c r="I59" s="53" t="n">
        <x:v>9</x:v>
      </x:c>
      <x:c r="J59" s="53" t="n">
        <x:v>9</x:v>
      </x:c>
      <x:c r="K59" s="53" t="n">
        <x:v>7</x:v>
      </x:c>
      <x:c r="L59" s="53" t="n">
        <x:v>9</x:v>
      </x:c>
      <x:c r="M59" s="53" t="n">
        <x:v>4</x:v>
      </x:c>
      <x:c r="N59" s="53" t="str">
        <x:v>PASS</x:v>
      </x:c>
      <x:c r="O59" s="62" t="str">
        <x:v>需核对规格、税费、安装和售后边界</x:v>
      </x:c>
      <x:c r="P59" s="63" t="n">
        <x:f>IF(N59="PASS",H59*'02_假设与情景'!$H$6+I59*'02_假设与情景'!$H$7+J59*'02_假设与情景'!$H$8+K59*'02_假设与情景'!$H$9+L59*'02_假设与情景'!$H$10+M59*'02_假设与情景'!$H$11,0)</x:f>
        <x:v>8.142372881355932</x:v>
      </x:c>
      <x:c r="Q59" s="64" t="str">
        <x:f>IF(N59&lt;&gt;"PASS","不推荐-需再验证",IF(P59&gt;=8,"优先候选",IF(P59&gt;=7,"可询价","备选")))</x:f>
        <x:v>优先候选</x:v>
      </x:c>
      <x:c r="R59" s="12" t="str">
        <x:v>SRC-023</x:v>
      </x:c>
      <x:c r="S59" s="12" t="str">
        <x:v>进入同规格询价和总拥有成本比较</x:v>
      </x:c>
    </x:row>
    <x:row r="60">
      <x:c r="A60" t="str">
        <x:v>ALT-055</x:v>
      </x:c>
      <x:c r="B60" t="str">
        <x:v>CAPEX-028</x:v>
      </x:c>
      <x:c r="C60" t="str">
        <x:v>0.22um无菌过滤系统</x:v>
      </x:c>
      <x:c r="D60" t="str">
        <x:v>成本优选：同规格国产合规供应商双询价</x:v>
      </x:c>
      <x:c r="E60" t="str">
        <x:v>国产/本地供应链</x:v>
      </x:c>
      <x:c r="F60" s="51" t="n">
        <x:v>30000</x:v>
      </x:c>
      <x:c r="G60" s="51" t="n">
        <x:v>25500</x:v>
      </x:c>
      <x:c r="H60" s="60" t="n">
        <x:f>IF(G60=0,0,MIN(10,10*F60/G60))</x:f>
        <x:v>10</x:v>
      </x:c>
      <x:c r="I60" s="53" t="n">
        <x:v>7</x:v>
      </x:c>
      <x:c r="J60" s="53" t="n">
        <x:v>8</x:v>
      </x:c>
      <x:c r="K60" s="53" t="n">
        <x:v>8</x:v>
      </x:c>
      <x:c r="L60" s="53" t="n">
        <x:v>6</x:v>
      </x:c>
      <x:c r="M60" s="53" t="n">
        <x:v>3</x:v>
      </x:c>
      <x:c r="N60" s="53" t="str">
        <x:v>PASS</x:v>
      </x:c>
      <x:c r="O60" s="62" t="str">
        <x:v>需核对规格、税费、安装和售后边界</x:v>
      </x:c>
      <x:c r="P60" s="63" t="n">
        <x:f>IF(N60="PASS",H60*'02_假设与情景'!$H$6+I60*'02_假设与情景'!$H$7+J60*'02_假设与情景'!$H$8+K60*'02_假设与情景'!$H$9+L60*'02_假设与情景'!$H$10+M60*'02_假设与情景'!$H$11,0)</x:f>
        <x:v>7.6499999999999995</x:v>
      </x:c>
      <x:c r="Q60" s="64" t="str">
        <x:f>IF(N60&lt;&gt;"PASS","不推荐-需再验证",IF(P60&gt;=8,"优先候选",IF(P60&gt;=7,"可询价","备选")))</x:f>
        <x:v>可询价</x:v>
      </x:c>
      <x:c r="R60" s="12" t="str">
        <x:v>SRC-031</x:v>
      </x:c>
      <x:c r="S60" s="12" t="str">
        <x:v>进入同规格询价和总拥有成本比较</x:v>
      </x:c>
    </x:row>
    <x:row r="61">
      <x:c r="A61" t="str">
        <x:v>ALT-056</x:v>
      </x:c>
      <x:c r="B61" t="str">
        <x:v>CAPEX-028</x:v>
      </x:c>
      <x:c r="C61" t="str">
        <x:v>0.22um无菌过滤系统</x:v>
      </x:c>
      <x:c r="D61" t="str">
        <x:v>品质优选：头部品牌全服务包</x:v>
      </x:c>
      <x:c r="E61" t="str">
        <x:v>头部品牌/专业服务商</x:v>
      </x:c>
      <x:c r="F61" s="51" t="n">
        <x:v>30000</x:v>
      </x:c>
      <x:c r="G61" s="51" t="n">
        <x:v>35400</x:v>
      </x:c>
      <x:c r="H61" s="60" t="n">
        <x:f>IF(G61=0,0,MIN(10,10*F61/G61))</x:f>
        <x:v>8.474576271186441</x:v>
      </x:c>
      <x:c r="I61" s="53" t="n">
        <x:v>9</x:v>
      </x:c>
      <x:c r="J61" s="53" t="n">
        <x:v>9</x:v>
      </x:c>
      <x:c r="K61" s="53" t="n">
        <x:v>7</x:v>
      </x:c>
      <x:c r="L61" s="53" t="n">
        <x:v>9</x:v>
      </x:c>
      <x:c r="M61" s="53" t="n">
        <x:v>3</x:v>
      </x:c>
      <x:c r="N61" s="53" t="str">
        <x:v>PASS</x:v>
      </x:c>
      <x:c r="O61" s="62" t="str">
        <x:v>需核对规格、税费、安装和售后边界</x:v>
      </x:c>
      <x:c r="P61" s="63" t="n">
        <x:f>IF(N61="PASS",H61*'02_假设与情景'!$H$6+I61*'02_假设与情景'!$H$7+J61*'02_假设与情景'!$H$8+K61*'02_假设与情景'!$H$9+L61*'02_假设与情景'!$H$10+M61*'02_假设与情景'!$H$11,0)</x:f>
        <x:v>8.042372881355933</x:v>
      </x:c>
      <x:c r="Q61" s="64" t="str">
        <x:f>IF(N61&lt;&gt;"PASS","不推荐-需再验证",IF(P61&gt;=8,"优先候选",IF(P61&gt;=7,"可询价","备选")))</x:f>
        <x:v>优先候选</x:v>
      </x:c>
      <x:c r="R61" s="12" t="str">
        <x:v>SRC-031</x:v>
      </x:c>
      <x:c r="S61" s="12" t="str">
        <x:v>进入同规格询价和总拥有成本比较</x:v>
      </x:c>
    </x:row>
    <x:row r="62">
      <x:c r="A62" t="str">
        <x:v>ALT-057</x:v>
      </x:c>
      <x:c r="B62" t="str">
        <x:v>CAPEX-029</x:v>
      </x:c>
      <x:c r="C62" t="str">
        <x:v>三套独立自动分装旋盖设备</x:v>
      </x:c>
      <x:c r="D62" t="str">
        <x:v>国产GMP微量分装旋盖定制线</x:v>
      </x:c>
      <x:c r="E62" t="str">
        <x:v>国内自动化集成商</x:v>
      </x:c>
      <x:c r="F62" s="51" t="n">
        <x:v>350000</x:v>
      </x:c>
      <x:c r="G62" s="51" t="n">
        <x:v>350000</x:v>
      </x:c>
      <x:c r="H62" s="60" t="n">
        <x:f>IF(G62=0,0,MIN(10,10*F62/G62))</x:f>
        <x:v>10</x:v>
      </x:c>
      <x:c r="I62" s="53" t="n">
        <x:v>7</x:v>
      </x:c>
      <x:c r="J62" s="53" t="n">
        <x:v>8</x:v>
      </x:c>
      <x:c r="K62" s="53" t="n">
        <x:v>9</x:v>
      </x:c>
      <x:c r="L62" s="53" t="n">
        <x:v>7</x:v>
      </x:c>
      <x:c r="M62" s="53" t="n">
        <x:v>3</x:v>
      </x:c>
      <x:c r="N62" s="53" t="str">
        <x:v>PASS</x:v>
      </x:c>
      <x:c r="O62" s="62" t="str">
        <x:v>需核对规格、税费、安装和售后边界</x:v>
      </x:c>
      <x:c r="P62" s="63" t="n">
        <x:f>IF(N62="PASS",H62*'02_假设与情景'!$H$6+I62*'02_假设与情景'!$H$7+J62*'02_假设与情景'!$H$8+K62*'02_假设与情景'!$H$9+L62*'02_假设与情景'!$H$10+M62*'02_假设与情景'!$H$11,0)</x:f>
        <x:v>7.8500000000000005</x:v>
      </x:c>
      <x:c r="Q62" s="64" t="str">
        <x:f>IF(N62&lt;&gt;"PASS","不推荐-需再验证",IF(P62&gt;=8,"优先候选",IF(P62&gt;=7,"可询价","备选")))</x:f>
        <x:v>可询价</x:v>
      </x:c>
      <x:c r="R62" s="12" t="str">
        <x:v>SRC-025</x:v>
      </x:c>
      <x:c r="S62" s="12" t="str">
        <x:v>进入同规格询价和总拥有成本比较</x:v>
      </x:c>
    </x:row>
    <x:row r="63">
      <x:c r="A63" t="str">
        <x:v>ALT-058</x:v>
      </x:c>
      <x:c r="B63" t="str">
        <x:v>CAPEX-029</x:v>
      </x:c>
      <x:c r="C63" t="str">
        <x:v>三套独立自动分装旋盖设备</x:v>
      </x:c>
      <x:c r="D63" t="str">
        <x:v>进口核心泵+国产集成方案</x:v>
      </x:c>
      <x:c r="E63" t="str">
        <x:v>混合方案</x:v>
      </x:c>
      <x:c r="F63" s="51" t="n">
        <x:v>350000</x:v>
      </x:c>
      <x:c r="G63" s="51" t="n">
        <x:v>507500</x:v>
      </x:c>
      <x:c r="H63" s="60" t="n">
        <x:f>IF(G63=0,0,MIN(10,10*F63/G63))</x:f>
        <x:v>6.896551724137931</x:v>
      </x:c>
      <x:c r="I63" s="53" t="n">
        <x:v>9</x:v>
      </x:c>
      <x:c r="J63" s="53" t="n">
        <x:v>9</x:v>
      </x:c>
      <x:c r="K63" s="53" t="n">
        <x:v>7</x:v>
      </x:c>
      <x:c r="L63" s="53" t="n">
        <x:v>8</x:v>
      </x:c>
      <x:c r="M63" s="53" t="n">
        <x:v>3</x:v>
      </x:c>
      <x:c r="N63" s="53" t="str">
        <x:v>PASS</x:v>
      </x:c>
      <x:c r="O63" s="62" t="str">
        <x:v>需核对规格、税费、安装和售后边界</x:v>
      </x:c>
      <x:c r="P63" s="63" t="n">
        <x:f>IF(N63="PASS",H63*'02_假设与情景'!$H$6+I63*'02_假设与情景'!$H$7+J63*'02_假设与情景'!$H$8+K63*'02_假设与情景'!$H$9+L63*'02_假设与情景'!$H$10+M63*'02_假设与情景'!$H$11,0)</x:f>
        <x:v>7.4689655172413785</x:v>
      </x:c>
      <x:c r="Q63" s="64" t="str">
        <x:f>IF(N63&lt;&gt;"PASS","不推荐-需再验证",IF(P63&gt;=8,"优先候选",IF(P63&gt;=7,"可询价","备选")))</x:f>
        <x:v>可询价</x:v>
      </x:c>
      <x:c r="R63" s="12" t="str">
        <x:v>SRC-025</x:v>
      </x:c>
      <x:c r="S63" s="12" t="str">
        <x:v>进入同规格询价和总拥有成本比较</x:v>
      </x:c>
    </x:row>
    <x:row r="64">
      <x:c r="A64" t="str">
        <x:v>ALT-059</x:v>
      </x:c>
      <x:c r="B64" t="str">
        <x:v>CAPEX-030</x:v>
      </x:c>
      <x:c r="C64" t="str">
        <x:v>在线称重校验系统</x:v>
      </x:c>
      <x:c r="D64" t="str">
        <x:v>成本优选：同规格国产合规供应商双询价</x:v>
      </x:c>
      <x:c r="E64" t="str">
        <x:v>国产/本地供应链</x:v>
      </x:c>
      <x:c r="F64" s="51" t="n">
        <x:v>120000</x:v>
      </x:c>
      <x:c r="G64" s="51" t="n">
        <x:v>102000</x:v>
      </x:c>
      <x:c r="H64" s="60" t="n">
        <x:f>IF(G64=0,0,MIN(10,10*F64/G64))</x:f>
        <x:v>10</x:v>
      </x:c>
      <x:c r="I64" s="53" t="n">
        <x:v>7</x:v>
      </x:c>
      <x:c r="J64" s="53" t="n">
        <x:v>8</x:v>
      </x:c>
      <x:c r="K64" s="53" t="n">
        <x:v>8</x:v>
      </x:c>
      <x:c r="L64" s="53" t="n">
        <x:v>6</x:v>
      </x:c>
      <x:c r="M64" s="53" t="n">
        <x:v>3</x:v>
      </x:c>
      <x:c r="N64" s="53" t="str">
        <x:v>PASS</x:v>
      </x:c>
      <x:c r="O64" s="62" t="str">
        <x:v>需核对规格、税费、安装和售后边界</x:v>
      </x:c>
      <x:c r="P64" s="63" t="n">
        <x:f>IF(N64="PASS",H64*'02_假设与情景'!$H$6+I64*'02_假设与情景'!$H$7+J64*'02_假设与情景'!$H$8+K64*'02_假设与情景'!$H$9+L64*'02_假设与情景'!$H$10+M64*'02_假设与情景'!$H$11,0)</x:f>
        <x:v>7.6499999999999995</x:v>
      </x:c>
      <x:c r="Q64" s="64" t="str">
        <x:f>IF(N64&lt;&gt;"PASS","不推荐-需再验证",IF(P64&gt;=8,"优先候选",IF(P64&gt;=7,"可询价","备选")))</x:f>
        <x:v>可询价</x:v>
      </x:c>
      <x:c r="R64" s="12" t="str">
        <x:v>SRC-025</x:v>
      </x:c>
      <x:c r="S64" s="12" t="str">
        <x:v>进入同规格询价和总拥有成本比较</x:v>
      </x:c>
    </x:row>
    <x:row r="65">
      <x:c r="A65" t="str">
        <x:v>ALT-060</x:v>
      </x:c>
      <x:c r="B65" t="str">
        <x:v>CAPEX-030</x:v>
      </x:c>
      <x:c r="C65" t="str">
        <x:v>在线称重校验系统</x:v>
      </x:c>
      <x:c r="D65" t="str">
        <x:v>品质优选：头部品牌全服务包</x:v>
      </x:c>
      <x:c r="E65" t="str">
        <x:v>头部品牌/专业服务商</x:v>
      </x:c>
      <x:c r="F65" s="51" t="n">
        <x:v>120000</x:v>
      </x:c>
      <x:c r="G65" s="51" t="n">
        <x:v>141600</x:v>
      </x:c>
      <x:c r="H65" s="60" t="n">
        <x:f>IF(G65=0,0,MIN(10,10*F65/G65))</x:f>
        <x:v>8.474576271186441</x:v>
      </x:c>
      <x:c r="I65" s="53" t="n">
        <x:v>9</x:v>
      </x:c>
      <x:c r="J65" s="53" t="n">
        <x:v>9</x:v>
      </x:c>
      <x:c r="K65" s="53" t="n">
        <x:v>7</x:v>
      </x:c>
      <x:c r="L65" s="53" t="n">
        <x:v>9</x:v>
      </x:c>
      <x:c r="M65" s="53" t="n">
        <x:v>3</x:v>
      </x:c>
      <x:c r="N65" s="53" t="str">
        <x:v>PASS</x:v>
      </x:c>
      <x:c r="O65" s="62" t="str">
        <x:v>需核对规格、税费、安装和售后边界</x:v>
      </x:c>
      <x:c r="P65" s="63" t="n">
        <x:f>IF(N65="PASS",H65*'02_假设与情景'!$H$6+I65*'02_假设与情景'!$H$7+J65*'02_假设与情景'!$H$8+K65*'02_假设与情景'!$H$9+L65*'02_假设与情景'!$H$10+M65*'02_假设与情景'!$H$11,0)</x:f>
        <x:v>8.042372881355933</x:v>
      </x:c>
      <x:c r="Q65" s="64" t="str">
        <x:f>IF(N65&lt;&gt;"PASS","不推荐-需再验证",IF(P65&gt;=8,"优先候选",IF(P65&gt;=7,"可询价","备选")))</x:f>
        <x:v>优先候选</x:v>
      </x:c>
      <x:c r="R65" s="12" t="str">
        <x:v>SRC-025</x:v>
      </x:c>
      <x:c r="S65" s="12" t="str">
        <x:v>进入同规格询价和总拥有成本比较</x:v>
      </x:c>
    </x:row>
    <x:row r="66">
      <x:c r="A66" t="str">
        <x:v>ALT-061</x:v>
      </x:c>
      <x:c r="B66" t="str">
        <x:v>CAPEX-031</x:v>
      </x:c>
      <x:c r="C66" t="str">
        <x:v>机器视觉漏液与旋盖检测</x:v>
      </x:c>
      <x:c r="D66" t="str">
        <x:v>成本优选：同规格国产合规供应商双询价</x:v>
      </x:c>
      <x:c r="E66" t="str">
        <x:v>国产/本地供应链</x:v>
      </x:c>
      <x:c r="F66" s="51" t="n">
        <x:v>180000</x:v>
      </x:c>
      <x:c r="G66" s="51" t="n">
        <x:v>153000</x:v>
      </x:c>
      <x:c r="H66" s="60" t="n">
        <x:f>IF(G66=0,0,MIN(10,10*F66/G66))</x:f>
        <x:v>10</x:v>
      </x:c>
      <x:c r="I66" s="53" t="n">
        <x:v>7</x:v>
      </x:c>
      <x:c r="J66" s="53" t="n">
        <x:v>8</x:v>
      </x:c>
      <x:c r="K66" s="53" t="n">
        <x:v>8</x:v>
      </x:c>
      <x:c r="L66" s="53" t="n">
        <x:v>6</x:v>
      </x:c>
      <x:c r="M66" s="53" t="n">
        <x:v>3</x:v>
      </x:c>
      <x:c r="N66" s="53" t="str">
        <x:v>PASS</x:v>
      </x:c>
      <x:c r="O66" s="62" t="str">
        <x:v>需核对规格、税费、安装和售后边界</x:v>
      </x:c>
      <x:c r="P66" s="63" t="n">
        <x:f>IF(N66="PASS",H66*'02_假设与情景'!$H$6+I66*'02_假设与情景'!$H$7+J66*'02_假设与情景'!$H$8+K66*'02_假设与情景'!$H$9+L66*'02_假设与情景'!$H$10+M66*'02_假设与情景'!$H$11,0)</x:f>
        <x:v>7.6499999999999995</x:v>
      </x:c>
      <x:c r="Q66" s="64" t="str">
        <x:f>IF(N66&lt;&gt;"PASS","不推荐-需再验证",IF(P66&gt;=8,"优先候选",IF(P66&gt;=7,"可询价","备选")))</x:f>
        <x:v>可询价</x:v>
      </x:c>
      <x:c r="R66" s="12" t="str">
        <x:v>SRC-025</x:v>
      </x:c>
      <x:c r="S66" s="12" t="str">
        <x:v>进入同规格询价和总拥有成本比较</x:v>
      </x:c>
    </x:row>
    <x:row r="67">
      <x:c r="A67" t="str">
        <x:v>ALT-062</x:v>
      </x:c>
      <x:c r="B67" t="str">
        <x:v>CAPEX-031</x:v>
      </x:c>
      <x:c r="C67" t="str">
        <x:v>机器视觉漏液与旋盖检测</x:v>
      </x:c>
      <x:c r="D67" t="str">
        <x:v>品质优选：头部品牌全服务包</x:v>
      </x:c>
      <x:c r="E67" t="str">
        <x:v>头部品牌/专业服务商</x:v>
      </x:c>
      <x:c r="F67" s="51" t="n">
        <x:v>180000</x:v>
      </x:c>
      <x:c r="G67" s="51" t="n">
        <x:v>212400</x:v>
      </x:c>
      <x:c r="H67" s="60" t="n">
        <x:f>IF(G67=0,0,MIN(10,10*F67/G67))</x:f>
        <x:v>8.474576271186441</x:v>
      </x:c>
      <x:c r="I67" s="53" t="n">
        <x:v>9</x:v>
      </x:c>
      <x:c r="J67" s="53" t="n">
        <x:v>9</x:v>
      </x:c>
      <x:c r="K67" s="53" t="n">
        <x:v>7</x:v>
      </x:c>
      <x:c r="L67" s="53" t="n">
        <x:v>9</x:v>
      </x:c>
      <x:c r="M67" s="53" t="n">
        <x:v>3</x:v>
      </x:c>
      <x:c r="N67" s="53" t="str">
        <x:v>PASS</x:v>
      </x:c>
      <x:c r="O67" s="62" t="str">
        <x:v>需核对规格、税费、安装和售后边界</x:v>
      </x:c>
      <x:c r="P67" s="63" t="n">
        <x:f>IF(N67="PASS",H67*'02_假设与情景'!$H$6+I67*'02_假设与情景'!$H$7+J67*'02_假设与情景'!$H$8+K67*'02_假设与情景'!$H$9+L67*'02_假设与情景'!$H$10+M67*'02_假设与情景'!$H$11,0)</x:f>
        <x:v>8.042372881355933</x:v>
      </x:c>
      <x:c r="Q67" s="64" t="str">
        <x:f>IF(N67&lt;&gt;"PASS","不推荐-需再验证",IF(P67&gt;=8,"优先候选",IF(P67&gt;=7,"可询价","备选")))</x:f>
        <x:v>优先候选</x:v>
      </x:c>
      <x:c r="R67" s="12" t="str">
        <x:v>SRC-025</x:v>
      </x:c>
      <x:c r="S67" s="12" t="str">
        <x:v>进入同规格询价和总拥有成本比较</x:v>
      </x:c>
    </x:row>
    <x:row r="68">
      <x:c r="A68" t="str">
        <x:v>ALT-063</x:v>
      </x:c>
      <x:c r="B68" t="str">
        <x:v>CAPEX-032</x:v>
      </x:c>
      <x:c r="C68" t="str">
        <x:v>全自动喷码系统</x:v>
      </x:c>
      <x:c r="D68" t="str">
        <x:v>成本优选：同规格国产合规供应商双询价</x:v>
      </x:c>
      <x:c r="E68" t="str">
        <x:v>国产/本地供应链</x:v>
      </x:c>
      <x:c r="F68" s="51" t="n">
        <x:v>60000</x:v>
      </x:c>
      <x:c r="G68" s="51" t="n">
        <x:v>51000</x:v>
      </x:c>
      <x:c r="H68" s="60" t="n">
        <x:f>IF(G68=0,0,MIN(10,10*F68/G68))</x:f>
        <x:v>10</x:v>
      </x:c>
      <x:c r="I68" s="53" t="n">
        <x:v>7</x:v>
      </x:c>
      <x:c r="J68" s="53" t="n">
        <x:v>8</x:v>
      </x:c>
      <x:c r="K68" s="53" t="n">
        <x:v>8</x:v>
      </x:c>
      <x:c r="L68" s="53" t="n">
        <x:v>6</x:v>
      </x:c>
      <x:c r="M68" s="53" t="n">
        <x:v>3</x:v>
      </x:c>
      <x:c r="N68" s="53" t="str">
        <x:v>PASS</x:v>
      </x:c>
      <x:c r="O68" s="62" t="str">
        <x:v>需核对规格、税费、安装和售后边界</x:v>
      </x:c>
      <x:c r="P68" s="63" t="n">
        <x:f>IF(N68="PASS",H68*'02_假设与情景'!$H$6+I68*'02_假设与情景'!$H$7+J68*'02_假设与情景'!$H$8+K68*'02_假设与情景'!$H$9+L68*'02_假设与情景'!$H$10+M68*'02_假设与情景'!$H$11,0)</x:f>
        <x:v>7.6499999999999995</x:v>
      </x:c>
      <x:c r="Q68" s="64" t="str">
        <x:f>IF(N68&lt;&gt;"PASS","不推荐-需再验证",IF(P68&gt;=8,"优先候选",IF(P68&gt;=7,"可询价","备选")))</x:f>
        <x:v>可询价</x:v>
      </x:c>
      <x:c r="R68" s="12" t="str">
        <x:v>SRC-028</x:v>
      </x:c>
      <x:c r="S68" s="12" t="str">
        <x:v>进入同规格询价和总拥有成本比较</x:v>
      </x:c>
    </x:row>
    <x:row r="69">
      <x:c r="A69" t="str">
        <x:v>ALT-064</x:v>
      </x:c>
      <x:c r="B69" t="str">
        <x:v>CAPEX-032</x:v>
      </x:c>
      <x:c r="C69" t="str">
        <x:v>全自动喷码系统</x:v>
      </x:c>
      <x:c r="D69" t="str">
        <x:v>品质优选：头部品牌全服务包</x:v>
      </x:c>
      <x:c r="E69" t="str">
        <x:v>头部品牌/专业服务商</x:v>
      </x:c>
      <x:c r="F69" s="51" t="n">
        <x:v>60000</x:v>
      </x:c>
      <x:c r="G69" s="51" t="n">
        <x:v>70800</x:v>
      </x:c>
      <x:c r="H69" s="60" t="n">
        <x:f>IF(G69=0,0,MIN(10,10*F69/G69))</x:f>
        <x:v>8.474576271186441</x:v>
      </x:c>
      <x:c r="I69" s="53" t="n">
        <x:v>9</x:v>
      </x:c>
      <x:c r="J69" s="53" t="n">
        <x:v>9</x:v>
      </x:c>
      <x:c r="K69" s="53" t="n">
        <x:v>7</x:v>
      </x:c>
      <x:c r="L69" s="53" t="n">
        <x:v>9</x:v>
      </x:c>
      <x:c r="M69" s="53" t="n">
        <x:v>3</x:v>
      </x:c>
      <x:c r="N69" s="53" t="str">
        <x:v>PASS</x:v>
      </x:c>
      <x:c r="O69" s="62" t="str">
        <x:v>需核对规格、税费、安装和售后边界</x:v>
      </x:c>
      <x:c r="P69" s="63" t="n">
        <x:f>IF(N69="PASS",H69*'02_假设与情景'!$H$6+I69*'02_假设与情景'!$H$7+J69*'02_假设与情景'!$H$8+K69*'02_假设与情景'!$H$9+L69*'02_假设与情景'!$H$10+M69*'02_假设与情景'!$H$11,0)</x:f>
        <x:v>8.042372881355933</x:v>
      </x:c>
      <x:c r="Q69" s="64" t="str">
        <x:f>IF(N69&lt;&gt;"PASS","不推荐-需再验证",IF(P69&gt;=8,"优先候选",IF(P69&gt;=7,"可询价","备选")))</x:f>
        <x:v>优先候选</x:v>
      </x:c>
      <x:c r="R69" s="12" t="str">
        <x:v>SRC-028</x:v>
      </x:c>
      <x:c r="S69" s="12" t="str">
        <x:v>进入同规格询价和总拥有成本比较</x:v>
      </x:c>
    </x:row>
    <x:row r="70">
      <x:c r="A70" t="str">
        <x:v>ALT-065</x:v>
      </x:c>
      <x:c r="B70" t="str">
        <x:v>CAPEX-033</x:v>
      </x:c>
      <x:c r="C70" t="str">
        <x:v>自动贴标及防伪赋码</x:v>
      </x:c>
      <x:c r="D70" t="str">
        <x:v>成本优选：同规格国产合规供应商双询价</x:v>
      </x:c>
      <x:c r="E70" t="str">
        <x:v>国产/本地供应链</x:v>
      </x:c>
      <x:c r="F70" s="51" t="n">
        <x:v>90000</x:v>
      </x:c>
      <x:c r="G70" s="51" t="n">
        <x:v>76500</x:v>
      </x:c>
      <x:c r="H70" s="60" t="n">
        <x:f>IF(G70=0,0,MIN(10,10*F70/G70))</x:f>
        <x:v>10</x:v>
      </x:c>
      <x:c r="I70" s="53" t="n">
        <x:v>7</x:v>
      </x:c>
      <x:c r="J70" s="53" t="n">
        <x:v>8</x:v>
      </x:c>
      <x:c r="K70" s="53" t="n">
        <x:v>8</x:v>
      </x:c>
      <x:c r="L70" s="53" t="n">
        <x:v>6</x:v>
      </x:c>
      <x:c r="M70" s="53" t="n">
        <x:v>3</x:v>
      </x:c>
      <x:c r="N70" s="53" t="str">
        <x:v>PASS</x:v>
      </x:c>
      <x:c r="O70" s="62" t="str">
        <x:v>需核对规格、税费、安装和售后边界</x:v>
      </x:c>
      <x:c r="P70" s="63" t="n">
        <x:f>IF(N70="PASS",H70*'02_假设与情景'!$H$6+I70*'02_假设与情景'!$H$7+J70*'02_假设与情景'!$H$8+K70*'02_假设与情景'!$H$9+L70*'02_假设与情景'!$H$10+M70*'02_假设与情景'!$H$11,0)</x:f>
        <x:v>7.6499999999999995</x:v>
      </x:c>
      <x:c r="Q70" s="64" t="str">
        <x:f>IF(N70&lt;&gt;"PASS","不推荐-需再验证",IF(P70&gt;=8,"优先候选",IF(P70&gt;=7,"可询价","备选")))</x:f>
        <x:v>可询价</x:v>
      </x:c>
      <x:c r="R70" s="12" t="str">
        <x:v>SRC-028</x:v>
      </x:c>
      <x:c r="S70" s="12" t="str">
        <x:v>进入同规格询价和总拥有成本比较</x:v>
      </x:c>
    </x:row>
    <x:row r="71">
      <x:c r="A71" t="str">
        <x:v>ALT-066</x:v>
      </x:c>
      <x:c r="B71" t="str">
        <x:v>CAPEX-033</x:v>
      </x:c>
      <x:c r="C71" t="str">
        <x:v>自动贴标及防伪赋码</x:v>
      </x:c>
      <x:c r="D71" t="str">
        <x:v>品质优选：头部品牌全服务包</x:v>
      </x:c>
      <x:c r="E71" t="str">
        <x:v>头部品牌/专业服务商</x:v>
      </x:c>
      <x:c r="F71" s="51" t="n">
        <x:v>90000</x:v>
      </x:c>
      <x:c r="G71" s="51" t="n">
        <x:v>106200</x:v>
      </x:c>
      <x:c r="H71" s="60" t="n">
        <x:f>IF(G71=0,0,MIN(10,10*F71/G71))</x:f>
        <x:v>8.474576271186441</x:v>
      </x:c>
      <x:c r="I71" s="53" t="n">
        <x:v>9</x:v>
      </x:c>
      <x:c r="J71" s="53" t="n">
        <x:v>9</x:v>
      </x:c>
      <x:c r="K71" s="53" t="n">
        <x:v>7</x:v>
      </x:c>
      <x:c r="L71" s="53" t="n">
        <x:v>9</x:v>
      </x:c>
      <x:c r="M71" s="53" t="n">
        <x:v>3</x:v>
      </x:c>
      <x:c r="N71" s="53" t="str">
        <x:v>PASS</x:v>
      </x:c>
      <x:c r="O71" s="62" t="str">
        <x:v>需核对规格、税费、安装和售后边界</x:v>
      </x:c>
      <x:c r="P71" s="63" t="n">
        <x:f>IF(N71="PASS",H71*'02_假设与情景'!$H$6+I71*'02_假设与情景'!$H$7+J71*'02_假设与情景'!$H$8+K71*'02_假设与情景'!$H$9+L71*'02_假设与情景'!$H$10+M71*'02_假设与情景'!$H$11,0)</x:f>
        <x:v>8.042372881355933</x:v>
      </x:c>
      <x:c r="Q71" s="64" t="str">
        <x:f>IF(N71&lt;&gt;"PASS","不推荐-需再验证",IF(P71&gt;=8,"优先候选",IF(P71&gt;=7,"可询价","备选")))</x:f>
        <x:v>优先候选</x:v>
      </x:c>
      <x:c r="R71" s="12" t="str">
        <x:v>SRC-028</x:v>
      </x:c>
      <x:c r="S71" s="12" t="str">
        <x:v>进入同规格询价和总拥有成本比较</x:v>
      </x:c>
    </x:row>
    <x:row r="72">
      <x:c r="A72" t="str">
        <x:v>ALT-067</x:v>
      </x:c>
      <x:c r="B72" t="str">
        <x:v>CAPEX-034</x:v>
      </x:c>
      <x:c r="C72" t="str">
        <x:v>自动分料、装盒与封盒线</x:v>
      </x:c>
      <x:c r="D72" t="str">
        <x:v>成本优选：同规格国产合规供应商双询价</x:v>
      </x:c>
      <x:c r="E72" t="str">
        <x:v>国产/本地供应链</x:v>
      </x:c>
      <x:c r="F72" s="51" t="n">
        <x:v>280000</x:v>
      </x:c>
      <x:c r="G72" s="51" t="n">
        <x:v>238000</x:v>
      </x:c>
      <x:c r="H72" s="60" t="n">
        <x:f>IF(G72=0,0,MIN(10,10*F72/G72))</x:f>
        <x:v>10</x:v>
      </x:c>
      <x:c r="I72" s="53" t="n">
        <x:v>7</x:v>
      </x:c>
      <x:c r="J72" s="53" t="n">
        <x:v>8</x:v>
      </x:c>
      <x:c r="K72" s="53" t="n">
        <x:v>8</x:v>
      </x:c>
      <x:c r="L72" s="53" t="n">
        <x:v>6</x:v>
      </x:c>
      <x:c r="M72" s="53" t="n">
        <x:v>3</x:v>
      </x:c>
      <x:c r="N72" s="53" t="str">
        <x:v>PASS</x:v>
      </x:c>
      <x:c r="O72" s="62" t="str">
        <x:v>需核对规格、税费、安装和售后边界</x:v>
      </x:c>
      <x:c r="P72" s="63" t="n">
        <x:f>IF(N72="PASS",H72*'02_假设与情景'!$H$6+I72*'02_假设与情景'!$H$7+J72*'02_假设与情景'!$H$8+K72*'02_假设与情景'!$H$9+L72*'02_假设与情景'!$H$10+M72*'02_假设与情景'!$H$11,0)</x:f>
        <x:v>7.6499999999999995</x:v>
      </x:c>
      <x:c r="Q72" s="64" t="str">
        <x:f>IF(N72&lt;&gt;"PASS","不推荐-需再验证",IF(P72&gt;=8,"优先候选",IF(P72&gt;=7,"可询价","备选")))</x:f>
        <x:v>可询价</x:v>
      </x:c>
      <x:c r="R72" s="12" t="str">
        <x:v>SRC-028</x:v>
      </x:c>
      <x:c r="S72" s="12" t="str">
        <x:v>进入同规格询价和总拥有成本比较</x:v>
      </x:c>
    </x:row>
    <x:row r="73">
      <x:c r="A73" t="str">
        <x:v>ALT-068</x:v>
      </x:c>
      <x:c r="B73" t="str">
        <x:v>CAPEX-034</x:v>
      </x:c>
      <x:c r="C73" t="str">
        <x:v>自动分料、装盒与封盒线</x:v>
      </x:c>
      <x:c r="D73" t="str">
        <x:v>品质优选：头部品牌全服务包</x:v>
      </x:c>
      <x:c r="E73" t="str">
        <x:v>头部品牌/专业服务商</x:v>
      </x:c>
      <x:c r="F73" s="51" t="n">
        <x:v>280000</x:v>
      </x:c>
      <x:c r="G73" s="51" t="n">
        <x:v>330400</x:v>
      </x:c>
      <x:c r="H73" s="60" t="n">
        <x:f>IF(G73=0,0,MIN(10,10*F73/G73))</x:f>
        <x:v>8.474576271186441</x:v>
      </x:c>
      <x:c r="I73" s="53" t="n">
        <x:v>9</x:v>
      </x:c>
      <x:c r="J73" s="53" t="n">
        <x:v>9</x:v>
      </x:c>
      <x:c r="K73" s="53" t="n">
        <x:v>7</x:v>
      </x:c>
      <x:c r="L73" s="53" t="n">
        <x:v>9</x:v>
      </x:c>
      <x:c r="M73" s="53" t="n">
        <x:v>3</x:v>
      </x:c>
      <x:c r="N73" s="53" t="str">
        <x:v>PASS</x:v>
      </x:c>
      <x:c r="O73" s="62" t="str">
        <x:v>需核对规格、税费、安装和售后边界</x:v>
      </x:c>
      <x:c r="P73" s="63" t="n">
        <x:f>IF(N73="PASS",H73*'02_假设与情景'!$H$6+I73*'02_假设与情景'!$H$7+J73*'02_假设与情景'!$H$8+K73*'02_假设与情景'!$H$9+L73*'02_假设与情景'!$H$10+M73*'02_假设与情景'!$H$11,0)</x:f>
        <x:v>8.042372881355933</x:v>
      </x:c>
      <x:c r="Q73" s="64" t="str">
        <x:f>IF(N73&lt;&gt;"PASS","不推荐-需再验证",IF(P73&gt;=8,"优先候选",IF(P73&gt;=7,"可询价","备选")))</x:f>
        <x:v>优先候选</x:v>
      </x:c>
      <x:c r="R73" s="12" t="str">
        <x:v>SRC-028</x:v>
      </x:c>
      <x:c r="S73" s="12" t="str">
        <x:v>进入同规格询价和总拥有成本比较</x:v>
      </x:c>
    </x:row>
    <x:row r="74">
      <x:c r="A74" t="str">
        <x:v>ALT-069</x:v>
      </x:c>
      <x:c r="B74" t="str">
        <x:v>CAPEX-035</x:v>
      </x:c>
      <x:c r="C74" t="str">
        <x:v>热缩膜包装机</x:v>
      </x:c>
      <x:c r="D74" t="str">
        <x:v>成本优选：同规格国产合规供应商双询价</x:v>
      </x:c>
      <x:c r="E74" t="str">
        <x:v>国产/本地供应链</x:v>
      </x:c>
      <x:c r="F74" s="51" t="n">
        <x:v>50000</x:v>
      </x:c>
      <x:c r="G74" s="51" t="n">
        <x:v>42500</x:v>
      </x:c>
      <x:c r="H74" s="60" t="n">
        <x:f>IF(G74=0,0,MIN(10,10*F74/G74))</x:f>
        <x:v>10</x:v>
      </x:c>
      <x:c r="I74" s="53" t="n">
        <x:v>7</x:v>
      </x:c>
      <x:c r="J74" s="53" t="n">
        <x:v>8</x:v>
      </x:c>
      <x:c r="K74" s="53" t="n">
        <x:v>8</x:v>
      </x:c>
      <x:c r="L74" s="53" t="n">
        <x:v>6</x:v>
      </x:c>
      <x:c r="M74" s="53" t="n">
        <x:v>3</x:v>
      </x:c>
      <x:c r="N74" s="53" t="str">
        <x:v>PASS</x:v>
      </x:c>
      <x:c r="O74" s="62" t="str">
        <x:v>需核对规格、税费、安装和售后边界</x:v>
      </x:c>
      <x:c r="P74" s="63" t="n">
        <x:f>IF(N74="PASS",H74*'02_假设与情景'!$H$6+I74*'02_假设与情景'!$H$7+J74*'02_假设与情景'!$H$8+K74*'02_假设与情景'!$H$9+L74*'02_假设与情景'!$H$10+M74*'02_假设与情景'!$H$11,0)</x:f>
        <x:v>7.6499999999999995</x:v>
      </x:c>
      <x:c r="Q74" s="64" t="str">
        <x:f>IF(N74&lt;&gt;"PASS","不推荐-需再验证",IF(P74&gt;=8,"优先候选",IF(P74&gt;=7,"可询价","备选")))</x:f>
        <x:v>可询价</x:v>
      </x:c>
      <x:c r="R74" s="12" t="str">
        <x:v>SRC-028</x:v>
      </x:c>
      <x:c r="S74" s="12" t="str">
        <x:v>进入同规格询价和总拥有成本比较</x:v>
      </x:c>
    </x:row>
    <x:row r="75">
      <x:c r="A75" t="str">
        <x:v>ALT-070</x:v>
      </x:c>
      <x:c r="B75" t="str">
        <x:v>CAPEX-035</x:v>
      </x:c>
      <x:c r="C75" t="str">
        <x:v>热缩膜包装机</x:v>
      </x:c>
      <x:c r="D75" t="str">
        <x:v>品质优选：头部品牌全服务包</x:v>
      </x:c>
      <x:c r="E75" t="str">
        <x:v>头部品牌/专业服务商</x:v>
      </x:c>
      <x:c r="F75" s="51" t="n">
        <x:v>50000</x:v>
      </x:c>
      <x:c r="G75" s="51" t="n">
        <x:v>59000</x:v>
      </x:c>
      <x:c r="H75" s="60" t="n">
        <x:f>IF(G75=0,0,MIN(10,10*F75/G75))</x:f>
        <x:v>8.474576271186441</x:v>
      </x:c>
      <x:c r="I75" s="53" t="n">
        <x:v>9</x:v>
      </x:c>
      <x:c r="J75" s="53" t="n">
        <x:v>9</x:v>
      </x:c>
      <x:c r="K75" s="53" t="n">
        <x:v>7</x:v>
      </x:c>
      <x:c r="L75" s="53" t="n">
        <x:v>9</x:v>
      </x:c>
      <x:c r="M75" s="53" t="n">
        <x:v>3</x:v>
      </x:c>
      <x:c r="N75" s="53" t="str">
        <x:v>PASS</x:v>
      </x:c>
      <x:c r="O75" s="62" t="str">
        <x:v>需核对规格、税费、安装和售后边界</x:v>
      </x:c>
      <x:c r="P75" s="63" t="n">
        <x:f>IF(N75="PASS",H75*'02_假设与情景'!$H$6+I75*'02_假设与情景'!$H$7+J75*'02_假设与情景'!$H$8+K75*'02_假设与情景'!$H$9+L75*'02_假设与情景'!$H$10+M75*'02_假设与情景'!$H$11,0)</x:f>
        <x:v>8.042372881355933</x:v>
      </x:c>
      <x:c r="Q75" s="64" t="str">
        <x:f>IF(N75&lt;&gt;"PASS","不推荐-需再验证",IF(P75&gt;=8,"优先候选",IF(P75&gt;=7,"可询价","备选")))</x:f>
        <x:v>优先候选</x:v>
      </x:c>
      <x:c r="R75" s="12" t="str">
        <x:v>SRC-028</x:v>
      </x:c>
      <x:c r="S75" s="12" t="str">
        <x:v>进入同规格询价和总拥有成本比较</x:v>
      </x:c>
    </x:row>
    <x:row r="76">
      <x:c r="A76" t="str">
        <x:v>ALT-071</x:v>
      </x:c>
      <x:c r="B76" t="str">
        <x:v>CAPEX-036</x:v>
      </x:c>
      <x:c r="C76" t="str">
        <x:v>荧光定量PCR仪</x:v>
      </x:c>
      <x:c r="D76" t="str">
        <x:v>Bio-Rad CFX Duet</x:v>
      </x:c>
      <x:c r="E76" t="str">
        <x:v>Bio-Rad</x:v>
      </x:c>
      <x:c r="F76" s="51" t="n">
        <x:v>300000</x:v>
      </x:c>
      <x:c r="G76" s="51" t="n">
        <x:v>300000</x:v>
      </x:c>
      <x:c r="H76" s="60" t="n">
        <x:f>IF(G76=0,0,MIN(10,10*F76/G76))</x:f>
        <x:v>10</x:v>
      </x:c>
      <x:c r="I76" s="53" t="n">
        <x:v>9</x:v>
      </x:c>
      <x:c r="J76" s="53" t="n">
        <x:v>9</x:v>
      </x:c>
      <x:c r="K76" s="53" t="n">
        <x:v>8</x:v>
      </x:c>
      <x:c r="L76" s="53" t="n">
        <x:v>9</x:v>
      </x:c>
      <x:c r="M76" s="53" t="n">
        <x:v>7</x:v>
      </x:c>
      <x:c r="N76" s="53" t="str">
        <x:v>PASS</x:v>
      </x:c>
      <x:c r="O76" s="62" t="str">
        <x:v>需核对规格、税费、安装和售后边界</x:v>
      </x:c>
      <x:c r="P76" s="63" t="n">
        <x:f>IF(N76="PASS",H76*'02_假设与情景'!$H$6+I76*'02_假设与情景'!$H$7+J76*'02_假设与情景'!$H$8+K76*'02_假设与情景'!$H$9+L76*'02_假设与情景'!$H$10+M76*'02_假设与情景'!$H$11,0)</x:f>
        <x:v>8.999999999999998</x:v>
      </x:c>
      <x:c r="Q76" s="64" t="str">
        <x:f>IF(N76&lt;&gt;"PASS","不推荐-需再验证",IF(P76&gt;=8,"优先候选",IF(P76&gt;=7,"可询价","备选")))</x:f>
        <x:v>优先候选</x:v>
      </x:c>
      <x:c r="R76" s="12" t="str">
        <x:v>SRC-019</x:v>
      </x:c>
      <x:c r="S76" s="12" t="str">
        <x:v>进入同规格询价和总拥有成本比较</x:v>
      </x:c>
    </x:row>
    <x:row r="77">
      <x:c r="A77" t="str">
        <x:v>ALT-072</x:v>
      </x:c>
      <x:c r="B77" t="str">
        <x:v>CAPEX-036</x:v>
      </x:c>
      <x:c r="C77" t="str">
        <x:v>荧光定量PCR仪</x:v>
      </x:c>
      <x:c r="D77" t="str">
        <x:v>ABI QuantStudio 3</x:v>
      </x:c>
      <x:c r="E77" t="str">
        <x:v>Thermo Fisher</x:v>
      </x:c>
      <x:c r="F77" s="51" t="n">
        <x:v>300000</x:v>
      </x:c>
      <x:c r="G77" s="51" t="n">
        <x:v>375000</x:v>
      </x:c>
      <x:c r="H77" s="60" t="n">
        <x:f>IF(G77=0,0,MIN(10,10*F77/G77))</x:f>
        <x:v>8</x:v>
      </x:c>
      <x:c r="I77" s="53" t="n">
        <x:v>9</x:v>
      </x:c>
      <x:c r="J77" s="53" t="n">
        <x:v>9</x:v>
      </x:c>
      <x:c r="K77" s="53" t="n">
        <x:v>8</x:v>
      </x:c>
      <x:c r="L77" s="53" t="n">
        <x:v>9</x:v>
      </x:c>
      <x:c r="M77" s="53" t="n">
        <x:v>6</x:v>
      </x:c>
      <x:c r="N77" s="53" t="str">
        <x:v>PASS</x:v>
      </x:c>
      <x:c r="O77" s="62" t="str">
        <x:v>需核对规格、税费、安装和售后边界</x:v>
      </x:c>
      <x:c r="P77" s="63" t="n">
        <x:f>IF(N77="PASS",H77*'02_假设与情景'!$H$6+I77*'02_假设与情景'!$H$7+J77*'02_假设与情景'!$H$8+K77*'02_假设与情景'!$H$9+L77*'02_假设与情景'!$H$10+M77*'02_假设与情景'!$H$11,0)</x:f>
        <x:v>8.3</x:v>
      </x:c>
      <x:c r="Q77" s="64" t="str">
        <x:f>IF(N77&lt;&gt;"PASS","不推荐-需再验证",IF(P77&gt;=8,"优先候选",IF(P77&gt;=7,"可询价","备选")))</x:f>
        <x:v>优先候选</x:v>
      </x:c>
      <x:c r="R77" s="12" t="str">
        <x:v>SRC-019</x:v>
      </x:c>
      <x:c r="S77" s="12" t="str">
        <x:v>进入同规格询价和总拥有成本比较</x:v>
      </x:c>
    </x:row>
    <x:row r="78">
      <x:c r="A78" t="str">
        <x:v>ALT-073</x:v>
      </x:c>
      <x:c r="B78" t="str">
        <x:v>CAPEX-036</x:v>
      </x:c>
      <x:c r="C78" t="str">
        <x:v>荧光定量PCR仪</x:v>
      </x:c>
      <x:c r="D78" t="str">
        <x:v>国产双通道qPCR系统</x:v>
      </x:c>
      <x:c r="E78" t="str">
        <x:v>国产主流品牌</x:v>
      </x:c>
      <x:c r="F78" s="51" t="n">
        <x:v>300000</x:v>
      </x:c>
      <x:c r="G78" s="51" t="n">
        <x:v>180000</x:v>
      </x:c>
      <x:c r="H78" s="60" t="n">
        <x:f>IF(G78=0,0,MIN(10,10*F78/G78))</x:f>
        <x:v>10</x:v>
      </x:c>
      <x:c r="I78" s="53" t="n">
        <x:v>7</x:v>
      </x:c>
      <x:c r="J78" s="53" t="n">
        <x:v>7</x:v>
      </x:c>
      <x:c r="K78" s="53" t="n">
        <x:v>9</x:v>
      </x:c>
      <x:c r="L78" s="53" t="n">
        <x:v>7</x:v>
      </x:c>
      <x:c r="M78" s="53" t="n">
        <x:v>4</x:v>
      </x:c>
      <x:c r="N78" s="53" t="str">
        <x:v>PASS</x:v>
      </x:c>
      <x:c r="O78" s="62" t="str">
        <x:v>需核对规格、税费、安装和售后边界</x:v>
      </x:c>
      <x:c r="P78" s="63" t="n">
        <x:f>IF(N78="PASS",H78*'02_假设与情景'!$H$6+I78*'02_假设与情景'!$H$7+J78*'02_假设与情景'!$H$8+K78*'02_假设与情景'!$H$9+L78*'02_假设与情景'!$H$10+M78*'02_假设与情景'!$H$11,0)</x:f>
        <x:v>7.800000000000001</x:v>
      </x:c>
      <x:c r="Q78" s="64" t="str">
        <x:f>IF(N78&lt;&gt;"PASS","不推荐-需再验证",IF(P78&gt;=8,"优先候选",IF(P78&gt;=7,"可询价","备选")))</x:f>
        <x:v>可询价</x:v>
      </x:c>
      <x:c r="R78" s="12" t="str">
        <x:v>SRC-019</x:v>
      </x:c>
      <x:c r="S78" s="12" t="str">
        <x:v>进入同规格询价和总拥有成本比较</x:v>
      </x:c>
    </x:row>
    <x:row r="79">
      <x:c r="A79" t="str">
        <x:v>ALT-074</x:v>
      </x:c>
      <x:c r="B79" t="str">
        <x:v>CAPEX-037</x:v>
      </x:c>
      <x:c r="C79" t="str">
        <x:v>恒温双通道酶标仪</x:v>
      </x:c>
      <x:c r="D79" t="str">
        <x:v>BioTek Synergy H1</x:v>
      </x:c>
      <x:c r="E79" t="str">
        <x:v>Agilent BioTek</x:v>
      </x:c>
      <x:c r="F79" s="51" t="n">
        <x:v>350000</x:v>
      </x:c>
      <x:c r="G79" s="51" t="n">
        <x:v>350000</x:v>
      </x:c>
      <x:c r="H79" s="60" t="n">
        <x:f>IF(G79=0,0,MIN(10,10*F79/G79))</x:f>
        <x:v>10</x:v>
      </x:c>
      <x:c r="I79" s="53" t="n">
        <x:v>9</x:v>
      </x:c>
      <x:c r="J79" s="53" t="n">
        <x:v>9</x:v>
      </x:c>
      <x:c r="K79" s="53" t="n">
        <x:v>8</x:v>
      </x:c>
      <x:c r="L79" s="53" t="n">
        <x:v>9</x:v>
      </x:c>
      <x:c r="M79" s="53" t="n">
        <x:v>7</x:v>
      </x:c>
      <x:c r="N79" s="53" t="str">
        <x:v>PASS</x:v>
      </x:c>
      <x:c r="O79" s="62" t="str">
        <x:v>需核对规格、税费、安装和售后边界</x:v>
      </x:c>
      <x:c r="P79" s="63" t="n">
        <x:f>IF(N79="PASS",H79*'02_假设与情景'!$H$6+I79*'02_假设与情景'!$H$7+J79*'02_假设与情景'!$H$8+K79*'02_假设与情景'!$H$9+L79*'02_假设与情景'!$H$10+M79*'02_假设与情景'!$H$11,0)</x:f>
        <x:v>8.999999999999998</x:v>
      </x:c>
      <x:c r="Q79" s="64" t="str">
        <x:f>IF(N79&lt;&gt;"PASS","不推荐-需再验证",IF(P79&gt;=8,"优先候选",IF(P79&gt;=7,"可询价","备选")))</x:f>
        <x:v>优先候选</x:v>
      </x:c>
      <x:c r="R79" s="12" t="str">
        <x:v>SRC-020</x:v>
      </x:c>
      <x:c r="S79" s="12" t="str">
        <x:v>进入同规格询价和总拥有成本比较</x:v>
      </x:c>
    </x:row>
    <x:row r="80">
      <x:c r="A80" t="str">
        <x:v>ALT-075</x:v>
      </x:c>
      <x:c r="B80" t="str">
        <x:v>CAPEX-037</x:v>
      </x:c>
      <x:c r="C80" t="str">
        <x:v>恒温双通道酶标仪</x:v>
      </x:c>
      <x:c r="D80" t="str">
        <x:v>SpectraMax iD5</x:v>
      </x:c>
      <x:c r="E80" t="str">
        <x:v>Molecular Devices</x:v>
      </x:c>
      <x:c r="F80" s="51" t="n">
        <x:v>350000</x:v>
      </x:c>
      <x:c r="G80" s="51" t="n">
        <x:v>420000</x:v>
      </x:c>
      <x:c r="H80" s="60" t="n">
        <x:f>IF(G80=0,0,MIN(10,10*F80/G80))</x:f>
        <x:v>8.333333333333334</x:v>
      </x:c>
      <x:c r="I80" s="53" t="n">
        <x:v>9</x:v>
      </x:c>
      <x:c r="J80" s="53" t="n">
        <x:v>9</x:v>
      </x:c>
      <x:c r="K80" s="53" t="n">
        <x:v>8</x:v>
      </x:c>
      <x:c r="L80" s="53" t="n">
        <x:v>9</x:v>
      </x:c>
      <x:c r="M80" s="53" t="n">
        <x:v>6</x:v>
      </x:c>
      <x:c r="N80" s="53" t="str">
        <x:v>PASS</x:v>
      </x:c>
      <x:c r="O80" s="62" t="str">
        <x:v>需核对规格、税费、安装和售后边界</x:v>
      </x:c>
      <x:c r="P80" s="63" t="n">
        <x:f>IF(N80="PASS",H80*'02_假设与情景'!$H$6+I80*'02_假设与情景'!$H$7+J80*'02_假设与情景'!$H$8+K80*'02_假设与情景'!$H$9+L80*'02_假设与情景'!$H$10+M80*'02_假设与情景'!$H$11,0)</x:f>
        <x:v>8.4</x:v>
      </x:c>
      <x:c r="Q80" s="64" t="str">
        <x:f>IF(N80&lt;&gt;"PASS","不推荐-需再验证",IF(P80&gt;=8,"优先候选",IF(P80&gt;=7,"可询价","备选")))</x:f>
        <x:v>优先候选</x:v>
      </x:c>
      <x:c r="R80" s="12" t="str">
        <x:v>SRC-020</x:v>
      </x:c>
      <x:c r="S80" s="12" t="str">
        <x:v>进入同规格询价和总拥有成本比较</x:v>
      </x:c>
    </x:row>
    <x:row r="81">
      <x:c r="A81" t="str">
        <x:v>ALT-076</x:v>
      </x:c>
      <x:c r="B81" t="str">
        <x:v>CAPEX-037</x:v>
      </x:c>
      <x:c r="C81" t="str">
        <x:v>恒温双通道酶标仪</x:v>
      </x:c>
      <x:c r="D81" t="str">
        <x:v>国产恒温荧光酶标仪</x:v>
      </x:c>
      <x:c r="E81" t="str">
        <x:v>国产主流品牌</x:v>
      </x:c>
      <x:c r="F81" s="51" t="n">
        <x:v>350000</x:v>
      </x:c>
      <x:c r="G81" s="51" t="n">
        <x:v>192500</x:v>
      </x:c>
      <x:c r="H81" s="60" t="n">
        <x:f>IF(G81=0,0,MIN(10,10*F81/G81))</x:f>
        <x:v>10</x:v>
      </x:c>
      <x:c r="I81" s="53" t="n">
        <x:v>7</x:v>
      </x:c>
      <x:c r="J81" s="53" t="n">
        <x:v>6</x:v>
      </x:c>
      <x:c r="K81" s="53" t="n">
        <x:v>9</x:v>
      </x:c>
      <x:c r="L81" s="53" t="n">
        <x:v>7</x:v>
      </x:c>
      <x:c r="M81" s="53" t="n">
        <x:v>4</x:v>
      </x:c>
      <x:c r="N81" s="53" t="str">
        <x:v>PASS</x:v>
      </x:c>
      <x:c r="O81" s="62" t="str">
        <x:v>需核对规格、税费、安装和售后边界</x:v>
      </x:c>
      <x:c r="P81" s="63" t="n">
        <x:f>IF(N81="PASS",H81*'02_假设与情景'!$H$6+I81*'02_假设与情景'!$H$7+J81*'02_假设与情景'!$H$8+K81*'02_假设与情景'!$H$9+L81*'02_假设与情景'!$H$10+M81*'02_假设与情景'!$H$11,0)</x:f>
        <x:v>7.650000000000001</x:v>
      </x:c>
      <x:c r="Q81" s="64" t="str">
        <x:f>IF(N81&lt;&gt;"PASS","不推荐-需再验证",IF(P81&gt;=8,"优先候选",IF(P81&gt;=7,"可询价","备选")))</x:f>
        <x:v>可询价</x:v>
      </x:c>
      <x:c r="R81" s="12" t="str">
        <x:v>SRC-020</x:v>
      </x:c>
      <x:c r="S81" s="12" t="str">
        <x:v>进入同规格询价和总拥有成本比较</x:v>
      </x:c>
    </x:row>
    <x:row r="82">
      <x:c r="A82" t="str">
        <x:v>ALT-077</x:v>
      </x:c>
      <x:c r="B82" t="str">
        <x:v>CAPEX-038</x:v>
      </x:c>
      <x:c r="C82" t="str">
        <x:v>微量紫外分光光度计</x:v>
      </x:c>
      <x:c r="D82" t="str">
        <x:v>Nano-500</x:v>
      </x:c>
      <x:c r="E82" t="str">
        <x:v>Allsheng</x:v>
      </x:c>
      <x:c r="F82" s="51" t="n">
        <x:v>38000</x:v>
      </x:c>
      <x:c r="G82" s="51" t="n">
        <x:v>38000</x:v>
      </x:c>
      <x:c r="H82" s="60" t="n">
        <x:f>IF(G82=0,0,MIN(10,10*F82/G82))</x:f>
        <x:v>10</x:v>
      </x:c>
      <x:c r="I82" s="53" t="n">
        <x:v>7</x:v>
      </x:c>
      <x:c r="J82" s="53" t="n">
        <x:v>8</x:v>
      </x:c>
      <x:c r="K82" s="53" t="n">
        <x:v>9</x:v>
      </x:c>
      <x:c r="L82" s="53" t="n">
        <x:v>7</x:v>
      </x:c>
      <x:c r="M82" s="53" t="n">
        <x:v>5</x:v>
      </x:c>
      <x:c r="N82" s="53" t="str">
        <x:v>PASS</x:v>
      </x:c>
      <x:c r="O82" s="62" t="str">
        <x:v>需核对规格、税费、安装和售后边界</x:v>
      </x:c>
      <x:c r="P82" s="63" t="n">
        <x:f>IF(N82="PASS",H82*'02_假设与情景'!$H$6+I82*'02_假设与情景'!$H$7+J82*'02_假设与情景'!$H$8+K82*'02_假设与情景'!$H$9+L82*'02_假设与情景'!$H$10+M82*'02_假设与情景'!$H$11,0)</x:f>
        <x:v>8.05</x:v>
      </x:c>
      <x:c r="Q82" s="64" t="str">
        <x:f>IF(N82&lt;&gt;"PASS","不推荐-需再验证",IF(P82&gt;=8,"优先候选",IF(P82&gt;=7,"可询价","备选")))</x:f>
        <x:v>优先候选</x:v>
      </x:c>
      <x:c r="R82" s="12" t="str">
        <x:v>SRC-021</x:v>
      </x:c>
      <x:c r="S82" s="12" t="str">
        <x:v>进入同规格询价和总拥有成本比较</x:v>
      </x:c>
    </x:row>
    <x:row r="83">
      <x:c r="A83" t="str">
        <x:v>ALT-078</x:v>
      </x:c>
      <x:c r="B83" t="str">
        <x:v>CAPEX-038</x:v>
      </x:c>
      <x:c r="C83" t="str">
        <x:v>微量紫外分光光度计</x:v>
      </x:c>
      <x:c r="D83" t="str">
        <x:v>NanoDrop One</x:v>
      </x:c>
      <x:c r="E83" t="str">
        <x:v>Thermo Fisher</x:v>
      </x:c>
      <x:c r="F83" s="51" t="n">
        <x:v>38000</x:v>
      </x:c>
      <x:c r="G83" s="51" t="n">
        <x:v>133000</x:v>
      </x:c>
      <x:c r="H83" s="60" t="n">
        <x:f>IF(G83=0,0,MIN(10,10*F83/G83))</x:f>
        <x:v>2.857142857142857</x:v>
      </x:c>
      <x:c r="I83" s="53" t="n">
        <x:v>9</x:v>
      </x:c>
      <x:c r="J83" s="53" t="n">
        <x:v>9</x:v>
      </x:c>
      <x:c r="K83" s="53" t="n">
        <x:v>8</x:v>
      </x:c>
      <x:c r="L83" s="53" t="n">
        <x:v>9</x:v>
      </x:c>
      <x:c r="M83" s="53" t="n">
        <x:v>6</x:v>
      </x:c>
      <x:c r="N83" s="53" t="str">
        <x:v>PASS</x:v>
      </x:c>
      <x:c r="O83" s="62" t="str">
        <x:v>需核对规格、税费、安装和售后边界</x:v>
      </x:c>
      <x:c r="P83" s="63" t="n">
        <x:f>IF(N83="PASS",H83*'02_假设与情景'!$H$6+I83*'02_假设与情景'!$H$7+J83*'02_假设与情景'!$H$8+K83*'02_假设与情景'!$H$9+L83*'02_假设与情景'!$H$10+M83*'02_假设与情景'!$H$11,0)</x:f>
        <x:v>6.757142857142858</x:v>
      </x:c>
      <x:c r="Q83" s="64" t="str">
        <x:f>IF(N83&lt;&gt;"PASS","不推荐-需再验证",IF(P83&gt;=8,"优先候选",IF(P83&gt;=7,"可询价","备选")))</x:f>
        <x:v>备选</x:v>
      </x:c>
      <x:c r="R83" s="12" t="str">
        <x:v>SRC-021</x:v>
      </x:c>
      <x:c r="S83" s="12" t="str">
        <x:v>进入同规格询价和总拥有成本比较</x:v>
      </x:c>
    </x:row>
    <x:row r="84">
      <x:c r="A84" t="str">
        <x:v>ALT-079</x:v>
      </x:c>
      <x:c r="B84" t="str">
        <x:v>CAPEX-039</x:v>
      </x:c>
      <x:c r="C84" t="str">
        <x:v>HPLC系统（可选自建）</x:v>
      </x:c>
      <x:c r="D84" t="str">
        <x:v>岛津LC-2050</x:v>
      </x:c>
      <x:c r="E84" t="str">
        <x:v>Shimadzu</x:v>
      </x:c>
      <x:c r="F84" s="51" t="n">
        <x:v>490000</x:v>
      </x:c>
      <x:c r="G84" s="51" t="n">
        <x:v>490000</x:v>
      </x:c>
      <x:c r="H84" s="60" t="n">
        <x:f>IF(G84=0,0,MIN(10,10*F84/G84))</x:f>
        <x:v>10</x:v>
      </x:c>
      <x:c r="I84" s="53" t="n">
        <x:v>9</x:v>
      </x:c>
      <x:c r="J84" s="53" t="n">
        <x:v>9</x:v>
      </x:c>
      <x:c r="K84" s="53" t="n">
        <x:v>8</x:v>
      </x:c>
      <x:c r="L84" s="53" t="n">
        <x:v>9</x:v>
      </x:c>
      <x:c r="M84" s="53" t="n">
        <x:v>7</x:v>
      </x:c>
      <x:c r="N84" s="53" t="str">
        <x:v>PASS</x:v>
      </x:c>
      <x:c r="O84" s="62" t="str">
        <x:v>需核对规格、税费、安装和售后边界</x:v>
      </x:c>
      <x:c r="P84" s="63" t="n">
        <x:f>IF(N84="PASS",H84*'02_假设与情景'!$H$6+I84*'02_假设与情景'!$H$7+J84*'02_假设与情景'!$H$8+K84*'02_假设与情景'!$H$9+L84*'02_假设与情景'!$H$10+M84*'02_假设与情景'!$H$11,0)</x:f>
        <x:v>8.999999999999998</x:v>
      </x:c>
      <x:c r="Q84" s="64" t="str">
        <x:f>IF(N84&lt;&gt;"PASS","不推荐-需再验证",IF(P84&gt;=8,"优先候选",IF(P84&gt;=7,"可询价","备选")))</x:f>
        <x:v>优先候选</x:v>
      </x:c>
      <x:c r="R84" s="12" t="str">
        <x:v>SRC-022</x:v>
      </x:c>
      <x:c r="S84" s="12" t="str">
        <x:v>进入同规格询价和总拥有成本比较</x:v>
      </x:c>
    </x:row>
    <x:row r="85">
      <x:c r="A85" t="str">
        <x:v>ALT-080</x:v>
      </x:c>
      <x:c r="B85" t="str">
        <x:v>CAPEX-039</x:v>
      </x:c>
      <x:c r="C85" t="str">
        <x:v>HPLC系统（可选自建）</x:v>
      </x:c>
      <x:c r="D85" t="str">
        <x:v>Agilent 1260 Infinity II</x:v>
      </x:c>
      <x:c r="E85" t="str">
        <x:v>Agilent</x:v>
      </x:c>
      <x:c r="F85" s="51" t="n">
        <x:v>490000</x:v>
      </x:c>
      <x:c r="G85" s="51" t="n">
        <x:v>661500</x:v>
      </x:c>
      <x:c r="H85" s="60" t="n">
        <x:f>IF(G85=0,0,MIN(10,10*F85/G85))</x:f>
        <x:v>7.407407407407407</x:v>
      </x:c>
      <x:c r="I85" s="53" t="n">
        <x:v>9</x:v>
      </x:c>
      <x:c r="J85" s="53" t="n">
        <x:v>9</x:v>
      </x:c>
      <x:c r="K85" s="53" t="n">
        <x:v>8</x:v>
      </x:c>
      <x:c r="L85" s="53" t="n">
        <x:v>9</x:v>
      </x:c>
      <x:c r="M85" s="53" t="n">
        <x:v>6</x:v>
      </x:c>
      <x:c r="N85" s="53" t="str">
        <x:v>PASS</x:v>
      </x:c>
      <x:c r="O85" s="62" t="str">
        <x:v>需核对规格、税费、安装和售后边界</x:v>
      </x:c>
      <x:c r="P85" s="63" t="n">
        <x:f>IF(N85="PASS",H85*'02_假设与情景'!$H$6+I85*'02_假设与情景'!$H$7+J85*'02_假设与情景'!$H$8+K85*'02_假设与情景'!$H$9+L85*'02_假设与情景'!$H$10+M85*'02_假设与情景'!$H$11,0)</x:f>
        <x:v>8.122222222222222</x:v>
      </x:c>
      <x:c r="Q85" s="64" t="str">
        <x:f>IF(N85&lt;&gt;"PASS","不推荐-需再验证",IF(P85&gt;=8,"优先候选",IF(P85&gt;=7,"可询价","备选")))</x:f>
        <x:v>优先候选</x:v>
      </x:c>
      <x:c r="R85" s="12" t="str">
        <x:v>SRC-022</x:v>
      </x:c>
      <x:c r="S85" s="12" t="str">
        <x:v>进入同规格询价和总拥有成本比较</x:v>
      </x:c>
    </x:row>
    <x:row r="86">
      <x:c r="A86" t="str">
        <x:v>ALT-081</x:v>
      </x:c>
      <x:c r="B86" t="str">
        <x:v>CAPEX-039</x:v>
      </x:c>
      <x:c r="C86" t="str">
        <x:v>HPLC系统（可选自建）</x:v>
      </x:c>
      <x:c r="D86" t="str">
        <x:v>委外HPLC检测</x:v>
      </x:c>
      <x:c r="E86" t="str">
        <x:v>合格第三方实验室</x:v>
      </x:c>
      <x:c r="F86" s="51" t="n">
        <x:v>490000</x:v>
      </x:c>
      <x:c r="G86" s="51" t="n">
        <x:v>73500</x:v>
      </x:c>
      <x:c r="H86" s="60" t="n">
        <x:f>IF(G86=0,0,MIN(10,10*F86/G86))</x:f>
        <x:v>10</x:v>
      </x:c>
      <x:c r="I86" s="53" t="n">
        <x:v>8</x:v>
      </x:c>
      <x:c r="J86" s="53" t="n">
        <x:v>7</x:v>
      </x:c>
      <x:c r="K86" s="53" t="n">
        <x:v>8</x:v>
      </x:c>
      <x:c r="L86" s="53" t="n">
        <x:v>8</x:v>
      </x:c>
      <x:c r="M86" s="53" t="n">
        <x:v>5</x:v>
      </x:c>
      <x:c r="N86" s="53" t="str">
        <x:v>PASS</x:v>
      </x:c>
      <x:c r="O86" s="62" t="str">
        <x:v>需核对规格、税费、安装和售后边界</x:v>
      </x:c>
      <x:c r="P86" s="63" t="n">
        <x:f>IF(N86="PASS",H86*'02_假设与情景'!$H$6+I86*'02_假设与情景'!$H$7+J86*'02_假设与情景'!$H$8+K86*'02_假设与情景'!$H$9+L86*'02_假设与情景'!$H$10+M86*'02_假设与情景'!$H$11,0)</x:f>
        <x:v>8.149999999999999</x:v>
      </x:c>
      <x:c r="Q86" s="64" t="str">
        <x:f>IF(N86&lt;&gt;"PASS","不推荐-需再验证",IF(P86&gt;=8,"优先候选",IF(P86&gt;=7,"可询价","备选")))</x:f>
        <x:v>优先候选</x:v>
      </x:c>
      <x:c r="R86" s="12" t="str">
        <x:v>SRC-022</x:v>
      </x:c>
      <x:c r="S86" s="12" t="str">
        <x:v>进入同规格询价和总拥有成本比较</x:v>
      </x:c>
    </x:row>
    <x:row r="87">
      <x:c r="A87" t="str">
        <x:v>ALT-082</x:v>
      </x:c>
      <x:c r="B87" t="str">
        <x:v>CAPEX-040</x:v>
      </x:c>
      <x:c r="C87" t="str">
        <x:v>核酸电泳与成像系统</x:v>
      </x:c>
      <x:c r="D87" t="str">
        <x:v>成本优选：同规格国产合规供应商双询价</x:v>
      </x:c>
      <x:c r="E87" t="str">
        <x:v>国产/本地供应链</x:v>
      </x:c>
      <x:c r="F87" s="51" t="n">
        <x:v>80000</x:v>
      </x:c>
      <x:c r="G87" s="51" t="n">
        <x:v>68000</x:v>
      </x:c>
      <x:c r="H87" s="60" t="n">
        <x:f>IF(G87=0,0,MIN(10,10*F87/G87))</x:f>
        <x:v>10</x:v>
      </x:c>
      <x:c r="I87" s="53" t="n">
        <x:v>7</x:v>
      </x:c>
      <x:c r="J87" s="53" t="n">
        <x:v>8</x:v>
      </x:c>
      <x:c r="K87" s="53" t="n">
        <x:v>8</x:v>
      </x:c>
      <x:c r="L87" s="53" t="n">
        <x:v>6</x:v>
      </x:c>
      <x:c r="M87" s="53" t="n">
        <x:v>4</x:v>
      </x:c>
      <x:c r="N87" s="53" t="str">
        <x:v>PASS</x:v>
      </x:c>
      <x:c r="O87" s="62" t="str">
        <x:v>需核对规格、税费、安装和售后边界</x:v>
      </x:c>
      <x:c r="P87" s="63" t="n">
        <x:f>IF(N87="PASS",H87*'02_假设与情景'!$H$6+I87*'02_假设与情景'!$H$7+J87*'02_假设与情景'!$H$8+K87*'02_假设与情景'!$H$9+L87*'02_假设与情景'!$H$10+M87*'02_假设与情景'!$H$11,0)</x:f>
        <x:v>7.75</x:v>
      </x:c>
      <x:c r="Q87" s="64" t="str">
        <x:f>IF(N87&lt;&gt;"PASS","不推荐-需再验证",IF(P87&gt;=8,"优先候选",IF(P87&gt;=7,"可询价","备选")))</x:f>
        <x:v>可询价</x:v>
      </x:c>
      <x:c r="R87" s="12" t="str">
        <x:v>SRC-031</x:v>
      </x:c>
      <x:c r="S87" s="12" t="str">
        <x:v>进入同规格询价和总拥有成本比较</x:v>
      </x:c>
    </x:row>
    <x:row r="88">
      <x:c r="A88" t="str">
        <x:v>ALT-083</x:v>
      </x:c>
      <x:c r="B88" t="str">
        <x:v>CAPEX-040</x:v>
      </x:c>
      <x:c r="C88" t="str">
        <x:v>核酸电泳与成像系统</x:v>
      </x:c>
      <x:c r="D88" t="str">
        <x:v>品质优选：头部品牌全服务包</x:v>
      </x:c>
      <x:c r="E88" t="str">
        <x:v>头部品牌/专业服务商</x:v>
      </x:c>
      <x:c r="F88" s="51" t="n">
        <x:v>80000</x:v>
      </x:c>
      <x:c r="G88" s="51" t="n">
        <x:v>94400</x:v>
      </x:c>
      <x:c r="H88" s="60" t="n">
        <x:f>IF(G88=0,0,MIN(10,10*F88/G88))</x:f>
        <x:v>8.474576271186441</x:v>
      </x:c>
      <x:c r="I88" s="53" t="n">
        <x:v>9</x:v>
      </x:c>
      <x:c r="J88" s="53" t="n">
        <x:v>9</x:v>
      </x:c>
      <x:c r="K88" s="53" t="n">
        <x:v>7</x:v>
      </x:c>
      <x:c r="L88" s="53" t="n">
        <x:v>9</x:v>
      </x:c>
      <x:c r="M88" s="53" t="n">
        <x:v>4</x:v>
      </x:c>
      <x:c r="N88" s="53" t="str">
        <x:v>PASS</x:v>
      </x:c>
      <x:c r="O88" s="62" t="str">
        <x:v>需核对规格、税费、安装和售后边界</x:v>
      </x:c>
      <x:c r="P88" s="63" t="n">
        <x:f>IF(N88="PASS",H88*'02_假设与情景'!$H$6+I88*'02_假设与情景'!$H$7+J88*'02_假设与情景'!$H$8+K88*'02_假设与情景'!$H$9+L88*'02_假设与情景'!$H$10+M88*'02_假设与情景'!$H$11,0)</x:f>
        <x:v>8.142372881355932</x:v>
      </x:c>
      <x:c r="Q88" s="64" t="str">
        <x:f>IF(N88&lt;&gt;"PASS","不推荐-需再验证",IF(P88&gt;=8,"优先候选",IF(P88&gt;=7,"可询价","备选")))</x:f>
        <x:v>优先候选</x:v>
      </x:c>
      <x:c r="R88" s="12" t="str">
        <x:v>SRC-031</x:v>
      </x:c>
      <x:c r="S88" s="12" t="str">
        <x:v>进入同规格询价和总拥有成本比较</x:v>
      </x:c>
    </x:row>
    <x:row r="89">
      <x:c r="A89" t="str">
        <x:v>ALT-084</x:v>
      </x:c>
      <x:c r="B89" t="str">
        <x:v>CAPEX-041</x:v>
      </x:c>
      <x:c r="C89" t="str">
        <x:v>实验室冰箱与-20C冰柜</x:v>
      </x:c>
      <x:c r="D89" t="str">
        <x:v>成本优选：同规格国产合规供应商双询价</x:v>
      </x:c>
      <x:c r="E89" t="str">
        <x:v>国产/本地供应链</x:v>
      </x:c>
      <x:c r="F89" s="51" t="n">
        <x:v>25000</x:v>
      </x:c>
      <x:c r="G89" s="51" t="n">
        <x:v>21250</x:v>
      </x:c>
      <x:c r="H89" s="60" t="n">
        <x:f>IF(G89=0,0,MIN(10,10*F89/G89))</x:f>
        <x:v>10</x:v>
      </x:c>
      <x:c r="I89" s="53" t="n">
        <x:v>7</x:v>
      </x:c>
      <x:c r="J89" s="53" t="n">
        <x:v>8</x:v>
      </x:c>
      <x:c r="K89" s="53" t="n">
        <x:v>8</x:v>
      </x:c>
      <x:c r="L89" s="53" t="n">
        <x:v>6</x:v>
      </x:c>
      <x:c r="M89" s="53" t="n">
        <x:v>3</x:v>
      </x:c>
      <x:c r="N89" s="53" t="str">
        <x:v>PASS</x:v>
      </x:c>
      <x:c r="O89" s="62" t="str">
        <x:v>需核对规格、税费、安装和售后边界</x:v>
      </x:c>
      <x:c r="P89" s="63" t="n">
        <x:f>IF(N89="PASS",H89*'02_假设与情景'!$H$6+I89*'02_假设与情景'!$H$7+J89*'02_假设与情景'!$H$8+K89*'02_假设与情景'!$H$9+L89*'02_假设与情景'!$H$10+M89*'02_假设与情景'!$H$11,0)</x:f>
        <x:v>7.6499999999999995</x:v>
      </x:c>
      <x:c r="Q89" s="64" t="str">
        <x:f>IF(N89&lt;&gt;"PASS","不推荐-需再验证",IF(P89&gt;=8,"优先候选",IF(P89&gt;=7,"可询价","备选")))</x:f>
        <x:v>可询价</x:v>
      </x:c>
      <x:c r="R89" s="12" t="str">
        <x:v>SRC-028</x:v>
      </x:c>
      <x:c r="S89" s="12" t="str">
        <x:v>进入同规格询价和总拥有成本比较</x:v>
      </x:c>
    </x:row>
    <x:row r="90">
      <x:c r="A90" t="str">
        <x:v>ALT-085</x:v>
      </x:c>
      <x:c r="B90" t="str">
        <x:v>CAPEX-041</x:v>
      </x:c>
      <x:c r="C90" t="str">
        <x:v>实验室冰箱与-20C冰柜</x:v>
      </x:c>
      <x:c r="D90" t="str">
        <x:v>品质优选：头部品牌全服务包</x:v>
      </x:c>
      <x:c r="E90" t="str">
        <x:v>头部品牌/专业服务商</x:v>
      </x:c>
      <x:c r="F90" s="51" t="n">
        <x:v>25000</x:v>
      </x:c>
      <x:c r="G90" s="51" t="n">
        <x:v>29500</x:v>
      </x:c>
      <x:c r="H90" s="60" t="n">
        <x:f>IF(G90=0,0,MIN(10,10*F90/G90))</x:f>
        <x:v>8.474576271186441</x:v>
      </x:c>
      <x:c r="I90" s="53" t="n">
        <x:v>9</x:v>
      </x:c>
      <x:c r="J90" s="53" t="n">
        <x:v>9</x:v>
      </x:c>
      <x:c r="K90" s="53" t="n">
        <x:v>7</x:v>
      </x:c>
      <x:c r="L90" s="53" t="n">
        <x:v>9</x:v>
      </x:c>
      <x:c r="M90" s="53" t="n">
        <x:v>3</x:v>
      </x:c>
      <x:c r="N90" s="53" t="str">
        <x:v>PASS</x:v>
      </x:c>
      <x:c r="O90" s="62" t="str">
        <x:v>需核对规格、税费、安装和售后边界</x:v>
      </x:c>
      <x:c r="P90" s="63" t="n">
        <x:f>IF(N90="PASS",H90*'02_假设与情景'!$H$6+I90*'02_假设与情景'!$H$7+J90*'02_假设与情景'!$H$8+K90*'02_假设与情景'!$H$9+L90*'02_假设与情景'!$H$10+M90*'02_假设与情景'!$H$11,0)</x:f>
        <x:v>8.042372881355933</x:v>
      </x:c>
      <x:c r="Q90" s="64" t="str">
        <x:f>IF(N90&lt;&gt;"PASS","不推荐-需再验证",IF(P90&gt;=8,"优先候选",IF(P90&gt;=7,"可询价","备选")))</x:f>
        <x:v>优先候选</x:v>
      </x:c>
      <x:c r="R90" s="12" t="str">
        <x:v>SRC-028</x:v>
      </x:c>
      <x:c r="S90" s="12" t="str">
        <x:v>进入同规格询价和总拥有成本比较</x:v>
      </x:c>
    </x:row>
    <x:row r="91">
      <x:c r="A91" t="str">
        <x:v>ALT-086</x:v>
      </x:c>
      <x:c r="B91" t="str">
        <x:v>CAPEX-042</x:v>
      </x:c>
      <x:c r="C91" t="str">
        <x:v>分析天平与微量天平</x:v>
      </x:c>
      <x:c r="D91" t="str">
        <x:v>成本优选：同规格国产合规供应商双询价</x:v>
      </x:c>
      <x:c r="E91" t="str">
        <x:v>国产/本地供应链</x:v>
      </x:c>
      <x:c r="F91" s="51" t="n">
        <x:v>30000</x:v>
      </x:c>
      <x:c r="G91" s="51" t="n">
        <x:v>25500</x:v>
      </x:c>
      <x:c r="H91" s="60" t="n">
        <x:f>IF(G91=0,0,MIN(10,10*F91/G91))</x:f>
        <x:v>10</x:v>
      </x:c>
      <x:c r="I91" s="53" t="n">
        <x:v>7</x:v>
      </x:c>
      <x:c r="J91" s="53" t="n">
        <x:v>8</x:v>
      </x:c>
      <x:c r="K91" s="53" t="n">
        <x:v>8</x:v>
      </x:c>
      <x:c r="L91" s="53" t="n">
        <x:v>6</x:v>
      </x:c>
      <x:c r="M91" s="53" t="n">
        <x:v>3</x:v>
      </x:c>
      <x:c r="N91" s="53" t="str">
        <x:v>PASS</x:v>
      </x:c>
      <x:c r="O91" s="62" t="str">
        <x:v>需核对规格、税费、安装和售后边界</x:v>
      </x:c>
      <x:c r="P91" s="63" t="n">
        <x:f>IF(N91="PASS",H91*'02_假设与情景'!$H$6+I91*'02_假设与情景'!$H$7+J91*'02_假设与情景'!$H$8+K91*'02_假设与情景'!$H$9+L91*'02_假设与情景'!$H$10+M91*'02_假设与情景'!$H$11,0)</x:f>
        <x:v>7.6499999999999995</x:v>
      </x:c>
      <x:c r="Q91" s="64" t="str">
        <x:f>IF(N91&lt;&gt;"PASS","不推荐-需再验证",IF(P91&gt;=8,"优先候选",IF(P91&gt;=7,"可询价","备选")))</x:f>
        <x:v>可询价</x:v>
      </x:c>
      <x:c r="R91" s="12" t="str">
        <x:v>SRC-028</x:v>
      </x:c>
      <x:c r="S91" s="12" t="str">
        <x:v>进入同规格询价和总拥有成本比较</x:v>
      </x:c>
    </x:row>
    <x:row r="92">
      <x:c r="A92" t="str">
        <x:v>ALT-087</x:v>
      </x:c>
      <x:c r="B92" t="str">
        <x:v>CAPEX-042</x:v>
      </x:c>
      <x:c r="C92" t="str">
        <x:v>分析天平与微量天平</x:v>
      </x:c>
      <x:c r="D92" t="str">
        <x:v>品质优选：头部品牌全服务包</x:v>
      </x:c>
      <x:c r="E92" t="str">
        <x:v>头部品牌/专业服务商</x:v>
      </x:c>
      <x:c r="F92" s="51" t="n">
        <x:v>30000</x:v>
      </x:c>
      <x:c r="G92" s="51" t="n">
        <x:v>35400</x:v>
      </x:c>
      <x:c r="H92" s="60" t="n">
        <x:f>IF(G92=0,0,MIN(10,10*F92/G92))</x:f>
        <x:v>8.474576271186441</x:v>
      </x:c>
      <x:c r="I92" s="53" t="n">
        <x:v>9</x:v>
      </x:c>
      <x:c r="J92" s="53" t="n">
        <x:v>9</x:v>
      </x:c>
      <x:c r="K92" s="53" t="n">
        <x:v>7</x:v>
      </x:c>
      <x:c r="L92" s="53" t="n">
        <x:v>9</x:v>
      </x:c>
      <x:c r="M92" s="53" t="n">
        <x:v>3</x:v>
      </x:c>
      <x:c r="N92" s="53" t="str">
        <x:v>PASS</x:v>
      </x:c>
      <x:c r="O92" s="62" t="str">
        <x:v>需核对规格、税费、安装和售后边界</x:v>
      </x:c>
      <x:c r="P92" s="63" t="n">
        <x:f>IF(N92="PASS",H92*'02_假设与情景'!$H$6+I92*'02_假设与情景'!$H$7+J92*'02_假设与情景'!$H$8+K92*'02_假设与情景'!$H$9+L92*'02_假设与情景'!$H$10+M92*'02_假设与情景'!$H$11,0)</x:f>
        <x:v>8.042372881355933</x:v>
      </x:c>
      <x:c r="Q92" s="64" t="str">
        <x:f>IF(N92&lt;&gt;"PASS","不推荐-需再验证",IF(P92&gt;=8,"优先候选",IF(P92&gt;=7,"可询价","备选")))</x:f>
        <x:v>优先候选</x:v>
      </x:c>
      <x:c r="R92" s="12" t="str">
        <x:v>SRC-028</x:v>
      </x:c>
      <x:c r="S92" s="12" t="str">
        <x:v>进入同规格询价和总拥有成本比较</x:v>
      </x:c>
    </x:row>
    <x:row r="93">
      <x:c r="A93" t="str">
        <x:v>ALT-088</x:v>
      </x:c>
      <x:c r="B93" t="str">
        <x:v>CAPEX-043</x:v>
      </x:c>
      <x:c r="C93" t="str">
        <x:v>高压蒸汽灭菌器</x:v>
      </x:c>
      <x:c r="D93" t="str">
        <x:v>成本优选：同规格国产合规供应商双询价</x:v>
      </x:c>
      <x:c r="E93" t="str">
        <x:v>国产/本地供应链</x:v>
      </x:c>
      <x:c r="F93" s="51" t="n">
        <x:v>100000</x:v>
      </x:c>
      <x:c r="G93" s="51" t="n">
        <x:v>85000</x:v>
      </x:c>
      <x:c r="H93" s="60" t="n">
        <x:f>IF(G93=0,0,MIN(10,10*F93/G93))</x:f>
        <x:v>10</x:v>
      </x:c>
      <x:c r="I93" s="53" t="n">
        <x:v>7</x:v>
      </x:c>
      <x:c r="J93" s="53" t="n">
        <x:v>8</x:v>
      </x:c>
      <x:c r="K93" s="53" t="n">
        <x:v>8</x:v>
      </x:c>
      <x:c r="L93" s="53" t="n">
        <x:v>6</x:v>
      </x:c>
      <x:c r="M93" s="53" t="n">
        <x:v>4</x:v>
      </x:c>
      <x:c r="N93" s="53" t="str">
        <x:v>PASS</x:v>
      </x:c>
      <x:c r="O93" s="62" t="str">
        <x:v>需核对规格、税费、安装和售后边界</x:v>
      </x:c>
      <x:c r="P93" s="63" t="n">
        <x:f>IF(N93="PASS",H93*'02_假设与情景'!$H$6+I93*'02_假设与情景'!$H$7+J93*'02_假设与情景'!$H$8+K93*'02_假设与情景'!$H$9+L93*'02_假设与情景'!$H$10+M93*'02_假设与情景'!$H$11,0)</x:f>
        <x:v>7.75</x:v>
      </x:c>
      <x:c r="Q93" s="64" t="str">
        <x:f>IF(N93&lt;&gt;"PASS","不推荐-需再验证",IF(P93&gt;=8,"优先候选",IF(P93&gt;=7,"可询价","备选")))</x:f>
        <x:v>可询价</x:v>
      </x:c>
      <x:c r="R93" s="12" t="str">
        <x:v>SRC-031</x:v>
      </x:c>
      <x:c r="S93" s="12" t="str">
        <x:v>进入同规格询价和总拥有成本比较</x:v>
      </x:c>
    </x:row>
    <x:row r="94">
      <x:c r="A94" t="str">
        <x:v>ALT-089</x:v>
      </x:c>
      <x:c r="B94" t="str">
        <x:v>CAPEX-043</x:v>
      </x:c>
      <x:c r="C94" t="str">
        <x:v>高压蒸汽灭菌器</x:v>
      </x:c>
      <x:c r="D94" t="str">
        <x:v>品质优选：头部品牌全服务包</x:v>
      </x:c>
      <x:c r="E94" t="str">
        <x:v>头部品牌/专业服务商</x:v>
      </x:c>
      <x:c r="F94" s="51" t="n">
        <x:v>100000</x:v>
      </x:c>
      <x:c r="G94" s="51" t="n">
        <x:v>118000</x:v>
      </x:c>
      <x:c r="H94" s="60" t="n">
        <x:f>IF(G94=0,0,MIN(10,10*F94/G94))</x:f>
        <x:v>8.474576271186441</x:v>
      </x:c>
      <x:c r="I94" s="53" t="n">
        <x:v>9</x:v>
      </x:c>
      <x:c r="J94" s="53" t="n">
        <x:v>9</x:v>
      </x:c>
      <x:c r="K94" s="53" t="n">
        <x:v>7</x:v>
      </x:c>
      <x:c r="L94" s="53" t="n">
        <x:v>9</x:v>
      </x:c>
      <x:c r="M94" s="53" t="n">
        <x:v>4</x:v>
      </x:c>
      <x:c r="N94" s="53" t="str">
        <x:v>PASS</x:v>
      </x:c>
      <x:c r="O94" s="62" t="str">
        <x:v>需核对规格、税费、安装和售后边界</x:v>
      </x:c>
      <x:c r="P94" s="63" t="n">
        <x:f>IF(N94="PASS",H94*'02_假设与情景'!$H$6+I94*'02_假设与情景'!$H$7+J94*'02_假设与情景'!$H$8+K94*'02_假设与情景'!$H$9+L94*'02_假设与情景'!$H$10+M94*'02_假设与情景'!$H$11,0)</x:f>
        <x:v>8.142372881355932</x:v>
      </x:c>
      <x:c r="Q94" s="64" t="str">
        <x:f>IF(N94&lt;&gt;"PASS","不推荐-需再验证",IF(P94&gt;=8,"优先候选",IF(P94&gt;=7,"可询价","备选")))</x:f>
        <x:v>优先候选</x:v>
      </x:c>
      <x:c r="R94" s="12" t="str">
        <x:v>SRC-031</x:v>
      </x:c>
      <x:c r="S94" s="12" t="str">
        <x:v>进入同规格询价和总拥有成本比较</x:v>
      </x:c>
    </x:row>
    <x:row r="95">
      <x:c r="A95" t="str">
        <x:v>ALT-090</x:v>
      </x:c>
      <x:c r="B95" t="str">
        <x:v>CAPEX-044</x:v>
      </x:c>
      <x:c r="C95" t="str">
        <x:v>II级生物安全柜</x:v>
      </x:c>
      <x:c r="D95" t="str">
        <x:v>BIOBASE BSC-1100IIA2-X</x:v>
      </x:c>
      <x:c r="E95" t="str">
        <x:v>BIOBASE</x:v>
      </x:c>
      <x:c r="F95" s="51" t="n">
        <x:v>68000</x:v>
      </x:c>
      <x:c r="G95" s="51" t="n">
        <x:v>68000</x:v>
      </x:c>
      <x:c r="H95" s="60" t="n">
        <x:f>IF(G95=0,0,MIN(10,10*F95/G95))</x:f>
        <x:v>10</x:v>
      </x:c>
      <x:c r="I95" s="53" t="n">
        <x:v>8</x:v>
      </x:c>
      <x:c r="J95" s="53" t="n">
        <x:v>9</x:v>
      </x:c>
      <x:c r="K95" s="53" t="n">
        <x:v>9</x:v>
      </x:c>
      <x:c r="L95" s="53" t="n">
        <x:v>7</x:v>
      </x:c>
      <x:c r="M95" s="53" t="n">
        <x:v>6</x:v>
      </x:c>
      <x:c r="N95" s="53" t="str">
        <x:v>PASS</x:v>
      </x:c>
      <x:c r="O95" s="62" t="str">
        <x:v>需核对规格、税费、安装和售后边界</x:v>
      </x:c>
      <x:c r="P95" s="63" t="n">
        <x:f>IF(N95="PASS",H95*'02_假设与情景'!$H$6+I95*'02_假设与情景'!$H$7+J95*'02_假设与情景'!$H$8+K95*'02_假设与情景'!$H$9+L95*'02_假设与情景'!$H$10+M95*'02_假设与情景'!$H$11,0)</x:f>
        <x:v>8.55</x:v>
      </x:c>
      <x:c r="Q95" s="64" t="str">
        <x:f>IF(N95&lt;&gt;"PASS","不推荐-需再验证",IF(P95&gt;=8,"优先候选",IF(P95&gt;=7,"可询价","备选")))</x:f>
        <x:v>优先候选</x:v>
      </x:c>
      <x:c r="R95" s="12" t="str">
        <x:v>SRC-023</x:v>
      </x:c>
      <x:c r="S95" s="12" t="str">
        <x:v>进入同规格询价和总拥有成本比较</x:v>
      </x:c>
    </x:row>
    <x:row r="96">
      <x:c r="A96" t="str">
        <x:v>ALT-091</x:v>
      </x:c>
      <x:c r="B96" t="str">
        <x:v>CAPEX-044</x:v>
      </x:c>
      <x:c r="C96" t="str">
        <x:v>II级生物安全柜</x:v>
      </x:c>
      <x:c r="D96" t="str">
        <x:v>Esco Airstream A2</x:v>
      </x:c>
      <x:c r="E96" t="str">
        <x:v>Esco</x:v>
      </x:c>
      <x:c r="F96" s="51" t="n">
        <x:v>68000</x:v>
      </x:c>
      <x:c r="G96" s="51" t="n">
        <x:v>115600</x:v>
      </x:c>
      <x:c r="H96" s="60" t="n">
        <x:f>IF(G96=0,0,MIN(10,10*F96/G96))</x:f>
        <x:v>5.882352941176471</x:v>
      </x:c>
      <x:c r="I96" s="53" t="n">
        <x:v>9</x:v>
      </x:c>
      <x:c r="J96" s="53" t="n">
        <x:v>9</x:v>
      </x:c>
      <x:c r="K96" s="53" t="n">
        <x:v>8</x:v>
      </x:c>
      <x:c r="L96" s="53" t="n">
        <x:v>9</x:v>
      </x:c>
      <x:c r="M96" s="53" t="n">
        <x:v>5</x:v>
      </x:c>
      <x:c r="N96" s="53" t="str">
        <x:v>PASS</x:v>
      </x:c>
      <x:c r="O96" s="62" t="str">
        <x:v>需核对规格、税费、安装和售后边界</x:v>
      </x:c>
      <x:c r="P96" s="63" t="n">
        <x:f>IF(N96="PASS",H96*'02_假设与情景'!$H$6+I96*'02_假设与情景'!$H$7+J96*'02_假设与情景'!$H$8+K96*'02_假设与情景'!$H$9+L96*'02_假设与情景'!$H$10+M96*'02_假设与情景'!$H$11,0)</x:f>
        <x:v>7.564705882352941</x:v>
      </x:c>
      <x:c r="Q96" s="64" t="str">
        <x:f>IF(N96&lt;&gt;"PASS","不推荐-需再验证",IF(P96&gt;=8,"优先候选",IF(P96&gt;=7,"可询价","备选")))</x:f>
        <x:v>可询价</x:v>
      </x:c>
      <x:c r="R96" s="12" t="str">
        <x:v>SRC-023</x:v>
      </x:c>
      <x:c r="S96" s="12" t="str">
        <x:v>进入同规格询价和总拥有成本比较</x:v>
      </x:c>
    </x:row>
    <x:row r="97">
      <x:c r="A97" t="str">
        <x:v>ALT-092</x:v>
      </x:c>
      <x:c r="B97" t="str">
        <x:v>CAPEX-045</x:v>
      </x:c>
      <x:c r="C97" t="str">
        <x:v>超净工作台</x:v>
      </x:c>
      <x:c r="D97" t="str">
        <x:v>成本优选：同规格国产合规供应商双询价</x:v>
      </x:c>
      <x:c r="E97" t="str">
        <x:v>国产/本地供应链</x:v>
      </x:c>
      <x:c r="F97" s="51" t="n">
        <x:v>20000</x:v>
      </x:c>
      <x:c r="G97" s="51" t="n">
        <x:v>17000</x:v>
      </x:c>
      <x:c r="H97" s="60" t="n">
        <x:f>IF(G97=0,0,MIN(10,10*F97/G97))</x:f>
        <x:v>10</x:v>
      </x:c>
      <x:c r="I97" s="53" t="n">
        <x:v>7</x:v>
      </x:c>
      <x:c r="J97" s="53" t="n">
        <x:v>8</x:v>
      </x:c>
      <x:c r="K97" s="53" t="n">
        <x:v>8</x:v>
      </x:c>
      <x:c r="L97" s="53" t="n">
        <x:v>6</x:v>
      </x:c>
      <x:c r="M97" s="53" t="n">
        <x:v>3</x:v>
      </x:c>
      <x:c r="N97" s="53" t="str">
        <x:v>PASS</x:v>
      </x:c>
      <x:c r="O97" s="62" t="str">
        <x:v>需核对规格、税费、安装和售后边界</x:v>
      </x:c>
      <x:c r="P97" s="63" t="n">
        <x:f>IF(N97="PASS",H97*'02_假设与情景'!$H$6+I97*'02_假设与情景'!$H$7+J97*'02_假设与情景'!$H$8+K97*'02_假设与情景'!$H$9+L97*'02_假设与情景'!$H$10+M97*'02_假设与情景'!$H$11,0)</x:f>
        <x:v>7.6499999999999995</x:v>
      </x:c>
      <x:c r="Q97" s="64" t="str">
        <x:f>IF(N97&lt;&gt;"PASS","不推荐-需再验证",IF(P97&gt;=8,"优先候选",IF(P97&gt;=7,"可询价","备选")))</x:f>
        <x:v>可询价</x:v>
      </x:c>
      <x:c r="R97" s="12" t="str">
        <x:v>SRC-028</x:v>
      </x:c>
      <x:c r="S97" s="12" t="str">
        <x:v>进入同规格询价和总拥有成本比较</x:v>
      </x:c>
    </x:row>
    <x:row r="98">
      <x:c r="A98" t="str">
        <x:v>ALT-093</x:v>
      </x:c>
      <x:c r="B98" t="str">
        <x:v>CAPEX-045</x:v>
      </x:c>
      <x:c r="C98" t="str">
        <x:v>超净工作台</x:v>
      </x:c>
      <x:c r="D98" t="str">
        <x:v>品质优选：头部品牌全服务包</x:v>
      </x:c>
      <x:c r="E98" t="str">
        <x:v>头部品牌/专业服务商</x:v>
      </x:c>
      <x:c r="F98" s="51" t="n">
        <x:v>20000</x:v>
      </x:c>
      <x:c r="G98" s="51" t="n">
        <x:v>23600</x:v>
      </x:c>
      <x:c r="H98" s="60" t="n">
        <x:f>IF(G98=0,0,MIN(10,10*F98/G98))</x:f>
        <x:v>8.474576271186441</x:v>
      </x:c>
      <x:c r="I98" s="53" t="n">
        <x:v>9</x:v>
      </x:c>
      <x:c r="J98" s="53" t="n">
        <x:v>9</x:v>
      </x:c>
      <x:c r="K98" s="53" t="n">
        <x:v>7</x:v>
      </x:c>
      <x:c r="L98" s="53" t="n">
        <x:v>9</x:v>
      </x:c>
      <x:c r="M98" s="53" t="n">
        <x:v>3</x:v>
      </x:c>
      <x:c r="N98" s="53" t="str">
        <x:v>PASS</x:v>
      </x:c>
      <x:c r="O98" s="62" t="str">
        <x:v>需核对规格、税费、安装和售后边界</x:v>
      </x:c>
      <x:c r="P98" s="63" t="n">
        <x:f>IF(N98="PASS",H98*'02_假设与情景'!$H$6+I98*'02_假设与情景'!$H$7+J98*'02_假设与情景'!$H$8+K98*'02_假设与情景'!$H$9+L98*'02_假设与情景'!$H$10+M98*'02_假设与情景'!$H$11,0)</x:f>
        <x:v>8.042372881355933</x:v>
      </x:c>
      <x:c r="Q98" s="64" t="str">
        <x:f>IF(N98&lt;&gt;"PASS","不推荐-需再验证",IF(P98&gt;=8,"优先候选",IF(P98&gt;=7,"可询价","备选")))</x:f>
        <x:v>优先候选</x:v>
      </x:c>
      <x:c r="R98" s="12" t="str">
        <x:v>SRC-028</x:v>
      </x:c>
      <x:c r="S98" s="12" t="str">
        <x:v>进入同规格询价和总拥有成本比较</x:v>
      </x:c>
    </x:row>
    <x:row r="99">
      <x:c r="A99" t="str">
        <x:v>ALT-094</x:v>
      </x:c>
      <x:c r="B99" t="str">
        <x:v>CAPEX-046</x:v>
      </x:c>
      <x:c r="C99" t="str">
        <x:v>离心、混匀、恒温与移液设备包</x:v>
      </x:c>
      <x:c r="D99" t="str">
        <x:v>成本优选：同规格国产合规供应商双询价</x:v>
      </x:c>
      <x:c r="E99" t="str">
        <x:v>国产/本地供应链</x:v>
      </x:c>
      <x:c r="F99" s="51" t="n">
        <x:v>80000</x:v>
      </x:c>
      <x:c r="G99" s="51" t="n">
        <x:v>68000</x:v>
      </x:c>
      <x:c r="H99" s="60" t="n">
        <x:f>IF(G99=0,0,MIN(10,10*F99/G99))</x:f>
        <x:v>10</x:v>
      </x:c>
      <x:c r="I99" s="53" t="n">
        <x:v>7</x:v>
      </x:c>
      <x:c r="J99" s="53" t="n">
        <x:v>8</x:v>
      </x:c>
      <x:c r="K99" s="53" t="n">
        <x:v>8</x:v>
      </x:c>
      <x:c r="L99" s="53" t="n">
        <x:v>6</x:v>
      </x:c>
      <x:c r="M99" s="53" t="n">
        <x:v>3</x:v>
      </x:c>
      <x:c r="N99" s="53" t="str">
        <x:v>PASS</x:v>
      </x:c>
      <x:c r="O99" s="62" t="str">
        <x:v>需核对规格、税费、安装和售后边界</x:v>
      </x:c>
      <x:c r="P99" s="63" t="n">
        <x:f>IF(N99="PASS",H99*'02_假设与情景'!$H$6+I99*'02_假设与情景'!$H$7+J99*'02_假设与情景'!$H$8+K99*'02_假设与情景'!$H$9+L99*'02_假设与情景'!$H$10+M99*'02_假设与情景'!$H$11,0)</x:f>
        <x:v>7.6499999999999995</x:v>
      </x:c>
      <x:c r="Q99" s="64" t="str">
        <x:f>IF(N99&lt;&gt;"PASS","不推荐-需再验证",IF(P99&gt;=8,"优先候选",IF(P99&gt;=7,"可询价","备选")))</x:f>
        <x:v>可询价</x:v>
      </x:c>
      <x:c r="R99" s="12" t="str">
        <x:v>SRC-028</x:v>
      </x:c>
      <x:c r="S99" s="12" t="str">
        <x:v>进入同规格询价和总拥有成本比较</x:v>
      </x:c>
    </x:row>
    <x:row r="100">
      <x:c r="A100" t="str">
        <x:v>ALT-095</x:v>
      </x:c>
      <x:c r="B100" t="str">
        <x:v>CAPEX-046</x:v>
      </x:c>
      <x:c r="C100" t="str">
        <x:v>离心、混匀、恒温与移液设备包</x:v>
      </x:c>
      <x:c r="D100" t="str">
        <x:v>品质优选：头部品牌全服务包</x:v>
      </x:c>
      <x:c r="E100" t="str">
        <x:v>头部品牌/专业服务商</x:v>
      </x:c>
      <x:c r="F100" s="51" t="n">
        <x:v>80000</x:v>
      </x:c>
      <x:c r="G100" s="51" t="n">
        <x:v>94400</x:v>
      </x:c>
      <x:c r="H100" s="60" t="n">
        <x:f>IF(G100=0,0,MIN(10,10*F100/G100))</x:f>
        <x:v>8.474576271186441</x:v>
      </x:c>
      <x:c r="I100" s="53" t="n">
        <x:v>9</x:v>
      </x:c>
      <x:c r="J100" s="53" t="n">
        <x:v>9</x:v>
      </x:c>
      <x:c r="K100" s="53" t="n">
        <x:v>7</x:v>
      </x:c>
      <x:c r="L100" s="53" t="n">
        <x:v>9</x:v>
      </x:c>
      <x:c r="M100" s="53" t="n">
        <x:v>3</x:v>
      </x:c>
      <x:c r="N100" s="53" t="str">
        <x:v>PASS</x:v>
      </x:c>
      <x:c r="O100" s="62" t="str">
        <x:v>需核对规格、税费、安装和售后边界</x:v>
      </x:c>
      <x:c r="P100" s="63" t="n">
        <x:f>IF(N100="PASS",H100*'02_假设与情景'!$H$6+I100*'02_假设与情景'!$H$7+J100*'02_假设与情景'!$H$8+K100*'02_假设与情景'!$H$9+L100*'02_假设与情景'!$H$10+M100*'02_假设与情景'!$H$11,0)</x:f>
        <x:v>8.042372881355933</x:v>
      </x:c>
      <x:c r="Q100" s="64" t="str">
        <x:f>IF(N100&lt;&gt;"PASS","不推荐-需再验证",IF(P100&gt;=8,"优先候选",IF(P100&gt;=7,"可询价","备选")))</x:f>
        <x:v>优先候选</x:v>
      </x:c>
      <x:c r="R100" s="12" t="str">
        <x:v>SRC-028</x:v>
      </x:c>
      <x:c r="S100" s="12" t="str">
        <x:v>进入同规格询价和总拥有成本比较</x:v>
      </x:c>
    </x:row>
    <x:row r="101">
      <x:c r="A101" t="str">
        <x:v>ALT-096</x:v>
      </x:c>
      <x:c r="B101" t="str">
        <x:v>CAPEX-047</x:v>
      </x:c>
      <x:c r="C101" t="str">
        <x:v>粒子、浮游菌与温湿度监测设备</x:v>
      </x:c>
      <x:c r="D101" t="str">
        <x:v>成本优选：同规格国产合规供应商双询价</x:v>
      </x:c>
      <x:c r="E101" t="str">
        <x:v>国产/本地供应链</x:v>
      </x:c>
      <x:c r="F101" s="51" t="n">
        <x:v>120000</x:v>
      </x:c>
      <x:c r="G101" s="51" t="n">
        <x:v>102000</x:v>
      </x:c>
      <x:c r="H101" s="60" t="n">
        <x:f>IF(G101=0,0,MIN(10,10*F101/G101))</x:f>
        <x:v>10</x:v>
      </x:c>
      <x:c r="I101" s="53" t="n">
        <x:v>7</x:v>
      </x:c>
      <x:c r="J101" s="53" t="n">
        <x:v>8</x:v>
      </x:c>
      <x:c r="K101" s="53" t="n">
        <x:v>8</x:v>
      </x:c>
      <x:c r="L101" s="53" t="n">
        <x:v>6</x:v>
      </x:c>
      <x:c r="M101" s="53" t="n">
        <x:v>3</x:v>
      </x:c>
      <x:c r="N101" s="53" t="str">
        <x:v>PASS</x:v>
      </x:c>
      <x:c r="O101" s="62" t="str">
        <x:v>需核对规格、税费、安装和售后边界</x:v>
      </x:c>
      <x:c r="P101" s="63" t="n">
        <x:f>IF(N101="PASS",H101*'02_假设与情景'!$H$6+I101*'02_假设与情景'!$H$7+J101*'02_假设与情景'!$H$8+K101*'02_假设与情景'!$H$9+L101*'02_假设与情景'!$H$10+M101*'02_假设与情景'!$H$11,0)</x:f>
        <x:v>7.6499999999999995</x:v>
      </x:c>
      <x:c r="Q101" s="64" t="str">
        <x:f>IF(N101&lt;&gt;"PASS","不推荐-需再验证",IF(P101&gt;=8,"优先候选",IF(P101&gt;=7,"可询价","备选")))</x:f>
        <x:v>可询价</x:v>
      </x:c>
      <x:c r="R101" s="12" t="str">
        <x:v>SRC-031</x:v>
      </x:c>
      <x:c r="S101" s="12" t="str">
        <x:v>进入同规格询价和总拥有成本比较</x:v>
      </x:c>
    </x:row>
    <x:row r="102">
      <x:c r="A102" t="str">
        <x:v>ALT-097</x:v>
      </x:c>
      <x:c r="B102" t="str">
        <x:v>CAPEX-047</x:v>
      </x:c>
      <x:c r="C102" t="str">
        <x:v>粒子、浮游菌与温湿度监测设备</x:v>
      </x:c>
      <x:c r="D102" t="str">
        <x:v>品质优选：头部品牌全服务包</x:v>
      </x:c>
      <x:c r="E102" t="str">
        <x:v>头部品牌/专业服务商</x:v>
      </x:c>
      <x:c r="F102" s="51" t="n">
        <x:v>120000</x:v>
      </x:c>
      <x:c r="G102" s="51" t="n">
        <x:v>141600</x:v>
      </x:c>
      <x:c r="H102" s="60" t="n">
        <x:f>IF(G102=0,0,MIN(10,10*F102/G102))</x:f>
        <x:v>8.474576271186441</x:v>
      </x:c>
      <x:c r="I102" s="53" t="n">
        <x:v>9</x:v>
      </x:c>
      <x:c r="J102" s="53" t="n">
        <x:v>9</x:v>
      </x:c>
      <x:c r="K102" s="53" t="n">
        <x:v>7</x:v>
      </x:c>
      <x:c r="L102" s="53" t="n">
        <x:v>9</x:v>
      </x:c>
      <x:c r="M102" s="53" t="n">
        <x:v>3</x:v>
      </x:c>
      <x:c r="N102" s="53" t="str">
        <x:v>PASS</x:v>
      </x:c>
      <x:c r="O102" s="62" t="str">
        <x:v>需核对规格、税费、安装和售后边界</x:v>
      </x:c>
      <x:c r="P102" s="63" t="n">
        <x:f>IF(N102="PASS",H102*'02_假设与情景'!$H$6+I102*'02_假设与情景'!$H$7+J102*'02_假设与情景'!$H$8+K102*'02_假设与情景'!$H$9+L102*'02_假设与情景'!$H$10+M102*'02_假设与情景'!$H$11,0)</x:f>
        <x:v>8.042372881355933</x:v>
      </x:c>
      <x:c r="Q102" s="64" t="str">
        <x:f>IF(N102&lt;&gt;"PASS","不推荐-需再验证",IF(P102&gt;=8,"优先候选",IF(P102&gt;=7,"可询价","备选")))</x:f>
        <x:v>优先候选</x:v>
      </x:c>
      <x:c r="R102" s="12" t="str">
        <x:v>SRC-031</x:v>
      </x:c>
      <x:c r="S102" s="12" t="str">
        <x:v>进入同规格询价和总拥有成本比较</x:v>
      </x:c>
    </x:row>
    <x:row r="103">
      <x:c r="A103" t="str">
        <x:v>ALT-098</x:v>
      </x:c>
      <x:c r="B103" t="str">
        <x:v>CAPEX-048</x:v>
      </x:c>
      <x:c r="C103" t="str">
        <x:v>MES、批记录与质量数据系统</x:v>
      </x:c>
      <x:c r="D103" t="str">
        <x:v>医药/IVD专用MES+LIMS</x:v>
      </x:c>
      <x:c r="E103" t="str">
        <x:v>行业供应商</x:v>
      </x:c>
      <x:c r="F103" s="51" t="n">
        <x:v>600000</x:v>
      </x:c>
      <x:c r="G103" s="51" t="n">
        <x:v>600000</x:v>
      </x:c>
      <x:c r="H103" s="60" t="n">
        <x:f>IF(G103=0,0,MIN(10,10*F103/G103))</x:f>
        <x:v>10</x:v>
      </x:c>
      <x:c r="I103" s="53" t="n">
        <x:v>9</x:v>
      </x:c>
      <x:c r="J103" s="53" t="n">
        <x:v>9</x:v>
      </x:c>
      <x:c r="K103" s="53" t="n">
        <x:v>7</x:v>
      </x:c>
      <x:c r="L103" s="53" t="n">
        <x:v>8</x:v>
      </x:c>
      <x:c r="M103" s="53" t="n">
        <x:v>2</x:v>
      </x:c>
      <x:c r="N103" s="53" t="str">
        <x:v>PASS</x:v>
      </x:c>
      <x:c r="O103" s="62" t="str">
        <x:v>需核对规格、税费、安装和售后边界</x:v>
      </x:c>
      <x:c r="P103" s="63" t="n">
        <x:f>IF(N103="PASS",H103*'02_假设与情景'!$H$6+I103*'02_假设与情景'!$H$7+J103*'02_假设与情景'!$H$8+K103*'02_假设与情景'!$H$9+L103*'02_假设与情景'!$H$10+M103*'02_假设与情景'!$H$11,0)</x:f>
        <x:v>8.299999999999999</x:v>
      </x:c>
      <x:c r="Q103" s="64" t="str">
        <x:f>IF(N103&lt;&gt;"PASS","不推荐-需再验证",IF(P103&gt;=8,"优先候选",IF(P103&gt;=7,"可询价","备选")))</x:f>
        <x:v>优先候选</x:v>
      </x:c>
      <x:c r="R103" s="12" t="str">
        <x:v>SRC-031</x:v>
      </x:c>
      <x:c r="S103" s="12" t="str">
        <x:v>进入同规格询价和总拥有成本比较</x:v>
      </x:c>
    </x:row>
    <x:row r="104">
      <x:c r="A104" t="str">
        <x:v>ALT-099</x:v>
      </x:c>
      <x:c r="B104" t="str">
        <x:v>CAPEX-048</x:v>
      </x:c>
      <x:c r="C104" t="str">
        <x:v>MES、批记录与质量数据系统</x:v>
      </x:c>
      <x:c r="D104" t="str">
        <x:v>通用MES配置化实施</x:v>
      </x:c>
      <x:c r="E104" t="str">
        <x:v>国产通用MES</x:v>
      </x:c>
      <x:c r="F104" s="51" t="n">
        <x:v>600000</x:v>
      </x:c>
      <x:c r="G104" s="51" t="n">
        <x:v>330000</x:v>
      </x:c>
      <x:c r="H104" s="60" t="n">
        <x:f>IF(G104=0,0,MIN(10,10*F104/G104))</x:f>
        <x:v>10</x:v>
      </x:c>
      <x:c r="I104" s="53" t="n">
        <x:v>7</x:v>
      </x:c>
      <x:c r="J104" s="53" t="n">
        <x:v>6</x:v>
      </x:c>
      <x:c r="K104" s="53" t="n">
        <x:v>9</x:v>
      </x:c>
      <x:c r="L104" s="53" t="n">
        <x:v>7</x:v>
      </x:c>
      <x:c r="M104" s="53" t="n">
        <x:v>2</x:v>
      </x:c>
      <x:c r="N104" s="53" t="str">
        <x:v>PASS</x:v>
      </x:c>
      <x:c r="O104" s="62" t="str">
        <x:v>需核对规格、税费、安装和售后边界</x:v>
      </x:c>
      <x:c r="P104" s="63" t="n">
        <x:f>IF(N104="PASS",H104*'02_假设与情景'!$H$6+I104*'02_假设与情景'!$H$7+J104*'02_假设与情景'!$H$8+K104*'02_假设与情景'!$H$9+L104*'02_假设与情景'!$H$10+M104*'02_假设与情景'!$H$11,0)</x:f>
        <x:v>7.450000000000001</x:v>
      </x:c>
      <x:c r="Q104" s="64" t="str">
        <x:f>IF(N104&lt;&gt;"PASS","不推荐-需再验证",IF(P104&gt;=8,"优先候选",IF(P104&gt;=7,"可询价","备选")))</x:f>
        <x:v>可询价</x:v>
      </x:c>
      <x:c r="R104" s="12" t="str">
        <x:v>SRC-031</x:v>
      </x:c>
      <x:c r="S104" s="12" t="str">
        <x:v>进入同规格询价和总拥有成本比较</x:v>
      </x:c>
    </x:row>
    <x:row r="105">
      <x:c r="A105" t="str">
        <x:v>ALT-100</x:v>
      </x:c>
      <x:c r="B105" t="str">
        <x:v>CAPEX-049</x:v>
      </x:c>
      <x:c r="C105" t="str">
        <x:v>服务器、条码、打印及终端</x:v>
      </x:c>
      <x:c r="D105" t="str">
        <x:v>成本优选：同规格国产合规供应商双询价</x:v>
      </x:c>
      <x:c r="E105" t="str">
        <x:v>国产/本地供应链</x:v>
      </x:c>
      <x:c r="F105" s="51" t="n">
        <x:v>150000</x:v>
      </x:c>
      <x:c r="G105" s="51" t="n">
        <x:v>127500</x:v>
      </x:c>
      <x:c r="H105" s="60" t="n">
        <x:f>IF(G105=0,0,MIN(10,10*F105/G105))</x:f>
        <x:v>10</x:v>
      </x:c>
      <x:c r="I105" s="53" t="n">
        <x:v>7</x:v>
      </x:c>
      <x:c r="J105" s="53" t="n">
        <x:v>8</x:v>
      </x:c>
      <x:c r="K105" s="53" t="n">
        <x:v>8</x:v>
      </x:c>
      <x:c r="L105" s="53" t="n">
        <x:v>6</x:v>
      </x:c>
      <x:c r="M105" s="53" t="n">
        <x:v>3</x:v>
      </x:c>
      <x:c r="N105" s="53" t="str">
        <x:v>PASS</x:v>
      </x:c>
      <x:c r="O105" s="62" t="str">
        <x:v>需核对规格、税费、安装和售后边界</x:v>
      </x:c>
      <x:c r="P105" s="63" t="n">
        <x:f>IF(N105="PASS",H105*'02_假设与情景'!$H$6+I105*'02_假设与情景'!$H$7+J105*'02_假设与情景'!$H$8+K105*'02_假设与情景'!$H$9+L105*'02_假设与情景'!$H$10+M105*'02_假设与情景'!$H$11,0)</x:f>
        <x:v>7.6499999999999995</x:v>
      </x:c>
      <x:c r="Q105" s="64" t="str">
        <x:f>IF(N105&lt;&gt;"PASS","不推荐-需再验证",IF(P105&gt;=8,"优先候选",IF(P105&gt;=7,"可询价","备选")))</x:f>
        <x:v>可询价</x:v>
      </x:c>
      <x:c r="R105" s="12" t="str">
        <x:v>SRC-028</x:v>
      </x:c>
      <x:c r="S105" s="12" t="str">
        <x:v>进入同规格询价和总拥有成本比较</x:v>
      </x:c>
    </x:row>
    <x:row r="106">
      <x:c r="A106" t="str">
        <x:v>ALT-101</x:v>
      </x:c>
      <x:c r="B106" t="str">
        <x:v>CAPEX-049</x:v>
      </x:c>
      <x:c r="C106" t="str">
        <x:v>服务器、条码、打印及终端</x:v>
      </x:c>
      <x:c r="D106" t="str">
        <x:v>品质优选：头部品牌全服务包</x:v>
      </x:c>
      <x:c r="E106" t="str">
        <x:v>头部品牌/专业服务商</x:v>
      </x:c>
      <x:c r="F106" s="51" t="n">
        <x:v>150000</x:v>
      </x:c>
      <x:c r="G106" s="51" t="n">
        <x:v>177000</x:v>
      </x:c>
      <x:c r="H106" s="60" t="n">
        <x:f>IF(G106=0,0,MIN(10,10*F106/G106))</x:f>
        <x:v>8.474576271186441</x:v>
      </x:c>
      <x:c r="I106" s="53" t="n">
        <x:v>9</x:v>
      </x:c>
      <x:c r="J106" s="53" t="n">
        <x:v>9</x:v>
      </x:c>
      <x:c r="K106" s="53" t="n">
        <x:v>7</x:v>
      </x:c>
      <x:c r="L106" s="53" t="n">
        <x:v>9</x:v>
      </x:c>
      <x:c r="M106" s="53" t="n">
        <x:v>3</x:v>
      </x:c>
      <x:c r="N106" s="53" t="str">
        <x:v>PASS</x:v>
      </x:c>
      <x:c r="O106" s="62" t="str">
        <x:v>需核对规格、税费、安装和售后边界</x:v>
      </x:c>
      <x:c r="P106" s="63" t="n">
        <x:f>IF(N106="PASS",H106*'02_假设与情景'!$H$6+I106*'02_假设与情景'!$H$7+J106*'02_假设与情景'!$H$8+K106*'02_假设与情景'!$H$9+L106*'02_假设与情景'!$H$10+M106*'02_假设与情景'!$H$11,0)</x:f>
        <x:v>8.042372881355933</x:v>
      </x:c>
      <x:c r="Q106" s="64" t="str">
        <x:f>IF(N106&lt;&gt;"PASS","不推荐-需再验证",IF(P106&gt;=8,"优先候选",IF(P106&gt;=7,"可询价","备选")))</x:f>
        <x:v>优先候选</x:v>
      </x:c>
      <x:c r="R106" s="12" t="str">
        <x:v>SRC-028</x:v>
      </x:c>
      <x:c r="S106" s="12" t="str">
        <x:v>进入同规格询价和总拥有成本比较</x:v>
      </x:c>
    </x:row>
    <x:row r="107">
      <x:c r="A107" t="str">
        <x:v>ALT-102</x:v>
      </x:c>
      <x:c r="B107" t="str">
        <x:v>CAPEX-050</x:v>
      </x:c>
      <x:c r="C107" t="str">
        <x:v>洁净厂房、设备和计算机化系统IQ/OQ/PQ</x:v>
      </x:c>
      <x:c r="D107" t="str">
        <x:v>成本优选：同规格国产合规供应商双询价</x:v>
      </x:c>
      <x:c r="E107" t="str">
        <x:v>国产/本地供应链</x:v>
      </x:c>
      <x:c r="F107" s="51" t="n">
        <x:v>1000000</x:v>
      </x:c>
      <x:c r="G107" s="51" t="n">
        <x:v>850000</x:v>
      </x:c>
      <x:c r="H107" s="60" t="n">
        <x:f>IF(G107=0,0,MIN(10,10*F107/G107))</x:f>
        <x:v>10</x:v>
      </x:c>
      <x:c r="I107" s="53" t="n">
        <x:v>7</x:v>
      </x:c>
      <x:c r="J107" s="53" t="n">
        <x:v>8</x:v>
      </x:c>
      <x:c r="K107" s="53" t="n">
        <x:v>8</x:v>
      </x:c>
      <x:c r="L107" s="53" t="n">
        <x:v>6</x:v>
      </x:c>
      <x:c r="M107" s="53" t="n">
        <x:v>2</x:v>
      </x:c>
      <x:c r="N107" s="53" t="str">
        <x:v>PASS</x:v>
      </x:c>
      <x:c r="O107" s="62" t="str">
        <x:v>需核对规格、税费、安装和售后边界</x:v>
      </x:c>
      <x:c r="P107" s="63" t="n">
        <x:f>IF(N107="PASS",H107*'02_假设与情景'!$H$6+I107*'02_假设与情景'!$H$7+J107*'02_假设与情景'!$H$8+K107*'02_假设与情景'!$H$9+L107*'02_假设与情景'!$H$10+M107*'02_假设与情景'!$H$11,0)</x:f>
        <x:v>7.55</x:v>
      </x:c>
      <x:c r="Q107" s="64" t="str">
        <x:f>IF(N107&lt;&gt;"PASS","不推荐-需再验证",IF(P107&gt;=8,"优先候选",IF(P107&gt;=7,"可询价","备选")))</x:f>
        <x:v>可询价</x:v>
      </x:c>
      <x:c r="R107" s="12" t="str">
        <x:v>SRC-031</x:v>
      </x:c>
      <x:c r="S107" s="12" t="str">
        <x:v>进入同规格询价和总拥有成本比较</x:v>
      </x:c>
    </x:row>
    <x:row r="108">
      <x:c r="A108" t="str">
        <x:v>ALT-103</x:v>
      </x:c>
      <x:c r="B108" t="str">
        <x:v>CAPEX-050</x:v>
      </x:c>
      <x:c r="C108" t="str">
        <x:v>洁净厂房、设备和计算机化系统IQ/OQ/PQ</x:v>
      </x:c>
      <x:c r="D108" t="str">
        <x:v>品质优选：头部品牌全服务包</x:v>
      </x:c>
      <x:c r="E108" t="str">
        <x:v>头部品牌/专业服务商</x:v>
      </x:c>
      <x:c r="F108" s="51" t="n">
        <x:v>1000000</x:v>
      </x:c>
      <x:c r="G108" s="51" t="n">
        <x:v>1180000</x:v>
      </x:c>
      <x:c r="H108" s="60" t="n">
        <x:f>IF(G108=0,0,MIN(10,10*F108/G108))</x:f>
        <x:v>8.474576271186441</x:v>
      </x:c>
      <x:c r="I108" s="53" t="n">
        <x:v>9</x:v>
      </x:c>
      <x:c r="J108" s="53" t="n">
        <x:v>9</x:v>
      </x:c>
      <x:c r="K108" s="53" t="n">
        <x:v>7</x:v>
      </x:c>
      <x:c r="L108" s="53" t="n">
        <x:v>9</x:v>
      </x:c>
      <x:c r="M108" s="53" t="n">
        <x:v>3</x:v>
      </x:c>
      <x:c r="N108" s="53" t="str">
        <x:v>PASS</x:v>
      </x:c>
      <x:c r="O108" s="62" t="str">
        <x:v>需核对规格、税费、安装和售后边界</x:v>
      </x:c>
      <x:c r="P108" s="63" t="n">
        <x:f>IF(N108="PASS",H108*'02_假设与情景'!$H$6+I108*'02_假设与情景'!$H$7+J108*'02_假设与情景'!$H$8+K108*'02_假设与情景'!$H$9+L108*'02_假设与情景'!$H$10+M108*'02_假设与情景'!$H$11,0)</x:f>
        <x:v>8.042372881355933</x:v>
      </x:c>
      <x:c r="Q108" s="64" t="str">
        <x:f>IF(N108&lt;&gt;"PASS","不推荐-需再验证",IF(P108&gt;=8,"优先候选",IF(P108&gt;=7,"可询价","备选")))</x:f>
        <x:v>优先候选</x:v>
      </x:c>
      <x:c r="R108" s="12" t="str">
        <x:v>SRC-031</x:v>
      </x:c>
      <x:c r="S108" s="12" t="str">
        <x:v>进入同规格询价和总拥有成本比较</x:v>
      </x:c>
    </x:row>
    <x:row r="109">
      <x:c r="A109" t="str">
        <x:v>ALT-104</x:v>
      </x:c>
      <x:c r="B109" t="str">
        <x:v>CAPEX-051</x:v>
      </x:c>
      <x:c r="C109" t="str">
        <x:v>设备运输、安装、调试与培训</x:v>
      </x:c>
      <x:c r="D109" t="str">
        <x:v>成本优选：同规格国产合规供应商双询价</x:v>
      </x:c>
      <x:c r="E109" t="str">
        <x:v>国产/本地供应链</x:v>
      </x:c>
      <x:c r="F109" s="51" t="n">
        <x:v>800000</x:v>
      </x:c>
      <x:c r="G109" s="51" t="n">
        <x:v>680000</x:v>
      </x:c>
      <x:c r="H109" s="60" t="n">
        <x:f>IF(G109=0,0,MIN(10,10*F109/G109))</x:f>
        <x:v>10</x:v>
      </x:c>
      <x:c r="I109" s="53" t="n">
        <x:v>7</x:v>
      </x:c>
      <x:c r="J109" s="53" t="n">
        <x:v>8</x:v>
      </x:c>
      <x:c r="K109" s="53" t="n">
        <x:v>8</x:v>
      </x:c>
      <x:c r="L109" s="53" t="n">
        <x:v>6</x:v>
      </x:c>
      <x:c r="M109" s="53" t="n">
        <x:v>2</x:v>
      </x:c>
      <x:c r="N109" s="53" t="str">
        <x:v>PASS</x:v>
      </x:c>
      <x:c r="O109" s="62" t="str">
        <x:v>需核对规格、税费、安装和售后边界</x:v>
      </x:c>
      <x:c r="P109" s="63" t="n">
        <x:f>IF(N109="PASS",H109*'02_假设与情景'!$H$6+I109*'02_假设与情景'!$H$7+J109*'02_假设与情景'!$H$8+K109*'02_假设与情景'!$H$9+L109*'02_假设与情景'!$H$10+M109*'02_假设与情景'!$H$11,0)</x:f>
        <x:v>7.55</x:v>
      </x:c>
      <x:c r="Q109" s="64" t="str">
        <x:f>IF(N109&lt;&gt;"PASS","不推荐-需再验证",IF(P109&gt;=8,"优先候选",IF(P109&gt;=7,"可询价","备选")))</x:f>
        <x:v>可询价</x:v>
      </x:c>
      <x:c r="R109" s="12" t="str">
        <x:v>SRC-031</x:v>
      </x:c>
      <x:c r="S109" s="12" t="str">
        <x:v>进入同规格询价和总拥有成本比较</x:v>
      </x:c>
    </x:row>
    <x:row r="110">
      <x:c r="A110" t="str">
        <x:v>ALT-105</x:v>
      </x:c>
      <x:c r="B110" t="str">
        <x:v>CAPEX-051</x:v>
      </x:c>
      <x:c r="C110" t="str">
        <x:v>设备运输、安装、调试与培训</x:v>
      </x:c>
      <x:c r="D110" t="str">
        <x:v>品质优选：头部品牌全服务包</x:v>
      </x:c>
      <x:c r="E110" t="str">
        <x:v>头部品牌/专业服务商</x:v>
      </x:c>
      <x:c r="F110" s="51" t="n">
        <x:v>800000</x:v>
      </x:c>
      <x:c r="G110" s="51" t="n">
        <x:v>944000</x:v>
      </x:c>
      <x:c r="H110" s="60" t="n">
        <x:f>IF(G110=0,0,MIN(10,10*F110/G110))</x:f>
        <x:v>8.474576271186441</x:v>
      </x:c>
      <x:c r="I110" s="53" t="n">
        <x:v>9</x:v>
      </x:c>
      <x:c r="J110" s="53" t="n">
        <x:v>9</x:v>
      </x:c>
      <x:c r="K110" s="53" t="n">
        <x:v>7</x:v>
      </x:c>
      <x:c r="L110" s="53" t="n">
        <x:v>9</x:v>
      </x:c>
      <x:c r="M110" s="53" t="n">
        <x:v>3</x:v>
      </x:c>
      <x:c r="N110" s="53" t="str">
        <x:v>PASS</x:v>
      </x:c>
      <x:c r="O110" s="62" t="str">
        <x:v>需核对规格、税费、安装和售后边界</x:v>
      </x:c>
      <x:c r="P110" s="63" t="n">
        <x:f>IF(N110="PASS",H110*'02_假设与情景'!$H$6+I110*'02_假设与情景'!$H$7+J110*'02_假设与情景'!$H$8+K110*'02_假设与情景'!$H$9+L110*'02_假设与情景'!$H$10+M110*'02_假设与情景'!$H$11,0)</x:f>
        <x:v>8.042372881355933</x:v>
      </x:c>
      <x:c r="Q110" s="64" t="str">
        <x:f>IF(N110&lt;&gt;"PASS","不推荐-需再验证",IF(P110&gt;=8,"优先候选",IF(P110&gt;=7,"可询价","备选")))</x:f>
        <x:v>优先候选</x:v>
      </x:c>
      <x:c r="R110" s="12" t="str">
        <x:v>SRC-031</x:v>
      </x:c>
      <x:c r="S110" s="12" t="str">
        <x:v>进入同规格询价和总拥有成本比较</x:v>
      </x:c>
    </x:row>
    <x:row r="111">
      <x:c r="A111" t="str">
        <x:v>ALT-106</x:v>
      </x:c>
      <x:c r="B111" t="str">
        <x:v>CAPEX-052</x:v>
      </x:c>
      <x:c r="C111" t="str">
        <x:v>工程管理、报建、监理与验收</x:v>
      </x:c>
      <x:c r="D111" t="str">
        <x:v>成本优选：同规格国产合规供应商双询价</x:v>
      </x:c>
      <x:c r="E111" t="str">
        <x:v>国产/本地供应链</x:v>
      </x:c>
      <x:c r="F111" s="51" t="n">
        <x:v>500000</x:v>
      </x:c>
      <x:c r="G111" s="51" t="n">
        <x:v>425000</x:v>
      </x:c>
      <x:c r="H111" s="60" t="n">
        <x:f>IF(G111=0,0,MIN(10,10*F111/G111))</x:f>
        <x:v>10</x:v>
      </x:c>
      <x:c r="I111" s="53" t="n">
        <x:v>7</x:v>
      </x:c>
      <x:c r="J111" s="53" t="n">
        <x:v>8</x:v>
      </x:c>
      <x:c r="K111" s="53" t="n">
        <x:v>8</x:v>
      </x:c>
      <x:c r="L111" s="53" t="n">
        <x:v>6</x:v>
      </x:c>
      <x:c r="M111" s="53" t="n">
        <x:v>2</x:v>
      </x:c>
      <x:c r="N111" s="53" t="str">
        <x:v>PASS</x:v>
      </x:c>
      <x:c r="O111" s="62" t="str">
        <x:v>需核对规格、税费、安装和售后边界</x:v>
      </x:c>
      <x:c r="P111" s="63" t="n">
        <x:f>IF(N111="PASS",H111*'02_假设与情景'!$H$6+I111*'02_假设与情景'!$H$7+J111*'02_假设与情景'!$H$8+K111*'02_假设与情景'!$H$9+L111*'02_假设与情景'!$H$10+M111*'02_假设与情景'!$H$11,0)</x:f>
        <x:v>7.55</x:v>
      </x:c>
      <x:c r="Q111" s="64" t="str">
        <x:f>IF(N111&lt;&gt;"PASS","不推荐-需再验证",IF(P111&gt;=8,"优先候选",IF(P111&gt;=7,"可询价","备选")))</x:f>
        <x:v>可询价</x:v>
      </x:c>
      <x:c r="R111" s="12" t="str">
        <x:v>SRC-031</x:v>
      </x:c>
      <x:c r="S111" s="12" t="str">
        <x:v>进入同规格询价和总拥有成本比较</x:v>
      </x:c>
    </x:row>
    <x:row r="112">
      <x:c r="A112" t="str">
        <x:v>ALT-107</x:v>
      </x:c>
      <x:c r="B112" t="str">
        <x:v>CAPEX-052</x:v>
      </x:c>
      <x:c r="C112" t="str">
        <x:v>工程管理、报建、监理与验收</x:v>
      </x:c>
      <x:c r="D112" t="str">
        <x:v>品质优选：头部品牌全服务包</x:v>
      </x:c>
      <x:c r="E112" t="str">
        <x:v>头部品牌/专业服务商</x:v>
      </x:c>
      <x:c r="F112" s="51" t="n">
        <x:v>500000</x:v>
      </x:c>
      <x:c r="G112" s="51" t="n">
        <x:v>590000</x:v>
      </x:c>
      <x:c r="H112" s="60" t="n">
        <x:f>IF(G112=0,0,MIN(10,10*F112/G112))</x:f>
        <x:v>8.474576271186441</x:v>
      </x:c>
      <x:c r="I112" s="53" t="n">
        <x:v>9</x:v>
      </x:c>
      <x:c r="J112" s="53" t="n">
        <x:v>9</x:v>
      </x:c>
      <x:c r="K112" s="53" t="n">
        <x:v>7</x:v>
      </x:c>
      <x:c r="L112" s="53" t="n">
        <x:v>9</x:v>
      </x:c>
      <x:c r="M112" s="53" t="n">
        <x:v>3</x:v>
      </x:c>
      <x:c r="N112" s="53" t="str">
        <x:v>PASS</x:v>
      </x:c>
      <x:c r="O112" s="62" t="str">
        <x:v>需核对规格、税费、安装和售后边界</x:v>
      </x:c>
      <x:c r="P112" s="63" t="n">
        <x:f>IF(N112="PASS",H112*'02_假设与情景'!$H$6+I112*'02_假设与情景'!$H$7+J112*'02_假设与情景'!$H$8+K112*'02_假设与情景'!$H$9+L112*'02_假设与情景'!$H$10+M112*'02_假设与情景'!$H$11,0)</x:f>
        <x:v>8.042372881355933</x:v>
      </x:c>
      <x:c r="Q112" s="64" t="str">
        <x:f>IF(N112&lt;&gt;"PASS","不推荐-需再验证",IF(P112&gt;=8,"优先候选",IF(P112&gt;=7,"可询价","备选")))</x:f>
        <x:v>优先候选</x:v>
      </x:c>
      <x:c r="R112" s="12" t="str">
        <x:v>SRC-031</x:v>
      </x:c>
      <x:c r="S112" s="12" t="str">
        <x:v>进入同规格询价和总拥有成本比较</x:v>
      </x:c>
    </x:row>
    <x:row r="113">
      <x:c r="A113" t="str">
        <x:v>ALT-108</x:v>
      </x:c>
      <x:c r="B113" t="str">
        <x:v>OPEX-001</x:v>
      </x:c>
      <x:c r="C113" t="str">
        <x:v>产业园标准厂房租金</x:v>
      </x:c>
      <x:c r="D113" t="str">
        <x:v>成本优选：同规格国产合规供应商双询价</x:v>
      </x:c>
      <x:c r="E113" t="str">
        <x:v>国产/本地供应链</x:v>
      </x:c>
      <x:c r="F113" s="51" t="n">
        <x:v>602.4</x:v>
      </x:c>
      <x:c r="G113" s="51" t="n">
        <x:v>512.04</x:v>
      </x:c>
      <x:c r="H113" s="60" t="n">
        <x:f>IF(G113=0,0,MIN(10,10*F113/G113))</x:f>
        <x:v>10</x:v>
      </x:c>
      <x:c r="I113" s="53" t="n">
        <x:v>7</x:v>
      </x:c>
      <x:c r="J113" s="53" t="n">
        <x:v>8</x:v>
      </x:c>
      <x:c r="K113" s="53" t="n">
        <x:v>8</x:v>
      </x:c>
      <x:c r="L113" s="53" t="n">
        <x:v>6</x:v>
      </x:c>
      <x:c r="M113" s="53" t="n">
        <x:v>5</x:v>
      </x:c>
      <x:c r="N113" s="53" t="str">
        <x:v>PASS</x:v>
      </x:c>
      <x:c r="O113" s="62" t="str">
        <x:v>需核对规格、税费、安装和售后边界</x:v>
      </x:c>
      <x:c r="P113" s="63" t="n">
        <x:f>IF(N113="PASS",H113*'02_假设与情景'!$H$6+I113*'02_假设与情景'!$H$7+J113*'02_假设与情景'!$H$8+K113*'02_假设与情景'!$H$9+L113*'02_假设与情景'!$H$10+M113*'02_假设与情景'!$H$11,0)</x:f>
        <x:v>7.85</x:v>
      </x:c>
      <x:c r="Q113" s="64" t="str">
        <x:f>IF(N113&lt;&gt;"PASS","不推荐-需再验证",IF(P113&gt;=8,"优先候选",IF(P113&gt;=7,"可询价","备选")))</x:f>
        <x:v>可询价</x:v>
      </x:c>
      <x:c r="R113" s="12" t="str">
        <x:v>SRC-015</x:v>
      </x:c>
      <x:c r="S113" s="12" t="str">
        <x:v>进入同规格询价和总拥有成本比较</x:v>
      </x:c>
    </x:row>
    <x:row r="114">
      <x:c r="A114" t="str">
        <x:v>ALT-109</x:v>
      </x:c>
      <x:c r="B114" t="str">
        <x:v>OPEX-001</x:v>
      </x:c>
      <x:c r="C114" t="str">
        <x:v>产业园标准厂房租金</x:v>
      </x:c>
      <x:c r="D114" t="str">
        <x:v>品质优选：头部品牌全服务包</x:v>
      </x:c>
      <x:c r="E114" t="str">
        <x:v>头部品牌/专业服务商</x:v>
      </x:c>
      <x:c r="F114" s="51" t="n">
        <x:v>602.4</x:v>
      </x:c>
      <x:c r="G114" s="51" t="n">
        <x:v>710.832</x:v>
      </x:c>
      <x:c r="H114" s="60" t="n">
        <x:f>IF(G114=0,0,MIN(10,10*F114/G114))</x:f>
        <x:v>8.474576271186441</x:v>
      </x:c>
      <x:c r="I114" s="53" t="n">
        <x:v>9</x:v>
      </x:c>
      <x:c r="J114" s="53" t="n">
        <x:v>9</x:v>
      </x:c>
      <x:c r="K114" s="53" t="n">
        <x:v>7</x:v>
      </x:c>
      <x:c r="L114" s="53" t="n">
        <x:v>9</x:v>
      </x:c>
      <x:c r="M114" s="53" t="n">
        <x:v>6</x:v>
      </x:c>
      <x:c r="N114" s="53" t="str">
        <x:v>PASS</x:v>
      </x:c>
      <x:c r="O114" s="62" t="str">
        <x:v>需核对规格、税费、安装和售后边界</x:v>
      </x:c>
      <x:c r="P114" s="63" t="n">
        <x:f>IF(N114="PASS",H114*'02_假设与情景'!$H$6+I114*'02_假设与情景'!$H$7+J114*'02_假设与情景'!$H$8+K114*'02_假设与情景'!$H$9+L114*'02_假设与情景'!$H$10+M114*'02_假设与情景'!$H$11,0)</x:f>
        <x:v>8.342372881355933</x:v>
      </x:c>
      <x:c r="Q114" s="64" t="str">
        <x:f>IF(N114&lt;&gt;"PASS","不推荐-需再验证",IF(P114&gt;=8,"优先候选",IF(P114&gt;=7,"可询价","备选")))</x:f>
        <x:v>优先候选</x:v>
      </x:c>
      <x:c r="R114" s="12" t="str">
        <x:v>SRC-015</x:v>
      </x:c>
      <x:c r="S114" s="12" t="str">
        <x:v>进入同规格询价和总拥有成本比较</x:v>
      </x:c>
    </x:row>
    <x:row r="115">
      <x:c r="A115" t="str">
        <x:v>ALT-110</x:v>
      </x:c>
      <x:c r="B115" t="str">
        <x:v>OPEX-002</x:v>
      </x:c>
      <x:c r="C115" t="str">
        <x:v>园区物业与公摊服务费</x:v>
      </x:c>
      <x:c r="D115" t="str">
        <x:v>成本优选：同规格国产合规供应商双询价</x:v>
      </x:c>
      <x:c r="E115" t="str">
        <x:v>国产/本地供应链</x:v>
      </x:c>
      <x:c r="F115" s="51" t="n">
        <x:v>72</x:v>
      </x:c>
      <x:c r="G115" s="51" t="n">
        <x:v>61.2</x:v>
      </x:c>
      <x:c r="H115" s="60" t="n">
        <x:f>IF(G115=0,0,MIN(10,10*F115/G115))</x:f>
        <x:v>10</x:v>
      </x:c>
      <x:c r="I115" s="53" t="n">
        <x:v>7</x:v>
      </x:c>
      <x:c r="J115" s="53" t="n">
        <x:v>8</x:v>
      </x:c>
      <x:c r="K115" s="53" t="n">
        <x:v>8</x:v>
      </x:c>
      <x:c r="L115" s="53" t="n">
        <x:v>6</x:v>
      </x:c>
      <x:c r="M115" s="53" t="n">
        <x:v>3</x:v>
      </x:c>
      <x:c r="N115" s="53" t="str">
        <x:v>PASS</x:v>
      </x:c>
      <x:c r="O115" s="62" t="str">
        <x:v>需核对规格、税费、安装和售后边界</x:v>
      </x:c>
      <x:c r="P115" s="63" t="n">
        <x:f>IF(N115="PASS",H115*'02_假设与情景'!$H$6+I115*'02_假设与情景'!$H$7+J115*'02_假设与情景'!$H$8+K115*'02_假设与情景'!$H$9+L115*'02_假设与情景'!$H$10+M115*'02_假设与情景'!$H$11,0)</x:f>
        <x:v>7.6499999999999995</x:v>
      </x:c>
      <x:c r="Q115" s="64" t="str">
        <x:f>IF(N115&lt;&gt;"PASS","不推荐-需再验证",IF(P115&gt;=8,"优先候选",IF(P115&gt;=7,"可询价","备选")))</x:f>
        <x:v>可询价</x:v>
      </x:c>
      <x:c r="R115" s="12" t="str">
        <x:v>SRC-031</x:v>
      </x:c>
      <x:c r="S115" s="12" t="str">
        <x:v>进入同规格询价和总拥有成本比较</x:v>
      </x:c>
    </x:row>
    <x:row r="116">
      <x:c r="A116" t="str">
        <x:v>ALT-111</x:v>
      </x:c>
      <x:c r="B116" t="str">
        <x:v>OPEX-002</x:v>
      </x:c>
      <x:c r="C116" t="str">
        <x:v>园区物业与公摊服务费</x:v>
      </x:c>
      <x:c r="D116" t="str">
        <x:v>品质优选：头部品牌全服务包</x:v>
      </x:c>
      <x:c r="E116" t="str">
        <x:v>头部品牌/专业服务商</x:v>
      </x:c>
      <x:c r="F116" s="51" t="n">
        <x:v>72</x:v>
      </x:c>
      <x:c r="G116" s="51" t="n">
        <x:v>84.96</x:v>
      </x:c>
      <x:c r="H116" s="60" t="n">
        <x:f>IF(G116=0,0,MIN(10,10*F116/G116))</x:f>
        <x:v>8.474576271186441</x:v>
      </x:c>
      <x:c r="I116" s="53" t="n">
        <x:v>9</x:v>
      </x:c>
      <x:c r="J116" s="53" t="n">
        <x:v>9</x:v>
      </x:c>
      <x:c r="K116" s="53" t="n">
        <x:v>7</x:v>
      </x:c>
      <x:c r="L116" s="53" t="n">
        <x:v>9</x:v>
      </x:c>
      <x:c r="M116" s="53" t="n">
        <x:v>3</x:v>
      </x:c>
      <x:c r="N116" s="53" t="str">
        <x:v>PASS</x:v>
      </x:c>
      <x:c r="O116" s="62" t="str">
        <x:v>需核对规格、税费、安装和售后边界</x:v>
      </x:c>
      <x:c r="P116" s="63" t="n">
        <x:f>IF(N116="PASS",H116*'02_假设与情景'!$H$6+I116*'02_假设与情景'!$H$7+J116*'02_假设与情景'!$H$8+K116*'02_假设与情景'!$H$9+L116*'02_假设与情景'!$H$10+M116*'02_假设与情景'!$H$11,0)</x:f>
        <x:v>8.042372881355933</x:v>
      </x:c>
      <x:c r="Q116" s="64" t="str">
        <x:f>IF(N116&lt;&gt;"PASS","不推荐-需再验证",IF(P116&gt;=8,"优先候选",IF(P116&gt;=7,"可询价","备选")))</x:f>
        <x:v>优先候选</x:v>
      </x:c>
      <x:c r="R116" s="12" t="str">
        <x:v>SRC-031</x:v>
      </x:c>
      <x:c r="S116" s="12" t="str">
        <x:v>进入同规格询价和总拥有成本比较</x:v>
      </x:c>
    </x:row>
    <x:row r="117">
      <x:c r="A117" t="str">
        <x:v>ALT-112</x:v>
      </x:c>
      <x:c r="B117" t="str">
        <x:v>OPEX-003</x:v>
      </x:c>
      <x:c r="C117" t="str">
        <x:v>生产操作人员</x:v>
      </x:c>
      <x:c r="D117" t="str">
        <x:v>成本优选：同规格国产合规供应商双询价</x:v>
      </x:c>
      <x:c r="E117" t="str">
        <x:v>国产/本地供应链</x:v>
      </x:c>
      <x:c r="F117" s="51" t="n">
        <x:v>120000</x:v>
      </x:c>
      <x:c r="G117" s="51" t="n">
        <x:v>102000</x:v>
      </x:c>
      <x:c r="H117" s="60" t="n">
        <x:f>IF(G117=0,0,MIN(10,10*F117/G117))</x:f>
        <x:v>10</x:v>
      </x:c>
      <x:c r="I117" s="53" t="n">
        <x:v>7</x:v>
      </x:c>
      <x:c r="J117" s="53" t="n">
        <x:v>8</x:v>
      </x:c>
      <x:c r="K117" s="53" t="n">
        <x:v>8</x:v>
      </x:c>
      <x:c r="L117" s="53" t="n">
        <x:v>6</x:v>
      </x:c>
      <x:c r="M117" s="53" t="n">
        <x:v>5</x:v>
      </x:c>
      <x:c r="N117" s="53" t="str">
        <x:v>PASS</x:v>
      </x:c>
      <x:c r="O117" s="62" t="str">
        <x:v>需核对规格、税费、安装和售后边界</x:v>
      </x:c>
      <x:c r="P117" s="63" t="n">
        <x:f>IF(N117="PASS",H117*'02_假设与情景'!$H$6+I117*'02_假设与情景'!$H$7+J117*'02_假设与情景'!$H$8+K117*'02_假设与情景'!$H$9+L117*'02_假设与情景'!$H$10+M117*'02_假设与情景'!$H$11,0)</x:f>
        <x:v>7.85</x:v>
      </x:c>
      <x:c r="Q117" s="64" t="str">
        <x:f>IF(N117&lt;&gt;"PASS","不推荐-需再验证",IF(P117&gt;=8,"优先候选",IF(P117&gt;=7,"可询价","备选")))</x:f>
        <x:v>可询价</x:v>
      </x:c>
      <x:c r="R117" s="12" t="str">
        <x:v>SRC-013, SRC-014</x:v>
      </x:c>
      <x:c r="S117" s="12" t="str">
        <x:v>进入同规格询价和总拥有成本比较</x:v>
      </x:c>
    </x:row>
    <x:row r="118">
      <x:c r="A118" t="str">
        <x:v>ALT-113</x:v>
      </x:c>
      <x:c r="B118" t="str">
        <x:v>OPEX-003</x:v>
      </x:c>
      <x:c r="C118" t="str">
        <x:v>生产操作人员</x:v>
      </x:c>
      <x:c r="D118" t="str">
        <x:v>品质优选：头部品牌全服务包</x:v>
      </x:c>
      <x:c r="E118" t="str">
        <x:v>头部品牌/专业服务商</x:v>
      </x:c>
      <x:c r="F118" s="51" t="n">
        <x:v>120000</x:v>
      </x:c>
      <x:c r="G118" s="51" t="n">
        <x:v>141600</x:v>
      </x:c>
      <x:c r="H118" s="60" t="n">
        <x:f>IF(G118=0,0,MIN(10,10*F118/G118))</x:f>
        <x:v>8.474576271186441</x:v>
      </x:c>
      <x:c r="I118" s="53" t="n">
        <x:v>9</x:v>
      </x:c>
      <x:c r="J118" s="53" t="n">
        <x:v>9</x:v>
      </x:c>
      <x:c r="K118" s="53" t="n">
        <x:v>7</x:v>
      </x:c>
      <x:c r="L118" s="53" t="n">
        <x:v>9</x:v>
      </x:c>
      <x:c r="M118" s="53" t="n">
        <x:v>6</x:v>
      </x:c>
      <x:c r="N118" s="53" t="str">
        <x:v>PASS</x:v>
      </x:c>
      <x:c r="O118" s="62" t="str">
        <x:v>需核对规格、税费、安装和售后边界</x:v>
      </x:c>
      <x:c r="P118" s="63" t="n">
        <x:f>IF(N118="PASS",H118*'02_假设与情景'!$H$6+I118*'02_假设与情景'!$H$7+J118*'02_假设与情景'!$H$8+K118*'02_假设与情景'!$H$9+L118*'02_假设与情景'!$H$10+M118*'02_假设与情景'!$H$11,0)</x:f>
        <x:v>8.342372881355933</x:v>
      </x:c>
      <x:c r="Q118" s="64" t="str">
        <x:f>IF(N118&lt;&gt;"PASS","不推荐-需再验证",IF(P118&gt;=8,"优先候选",IF(P118&gt;=7,"可询价","备选")))</x:f>
        <x:v>优先候选</x:v>
      </x:c>
      <x:c r="R118" s="12" t="str">
        <x:v>SRC-013, SRC-014</x:v>
      </x:c>
      <x:c r="S118" s="12" t="str">
        <x:v>进入同规格询价和总拥有成本比较</x:v>
      </x:c>
    </x:row>
    <x:row r="119">
      <x:c r="A119" t="str">
        <x:v>ALT-114</x:v>
      </x:c>
      <x:c r="B119" t="str">
        <x:v>OPEX-004</x:v>
      </x:c>
      <x:c r="C119" t="str">
        <x:v>QC检验人员</x:v>
      </x:c>
      <x:c r="D119" t="str">
        <x:v>成本优选：同规格国产合规供应商双询价</x:v>
      </x:c>
      <x:c r="E119" t="str">
        <x:v>国产/本地供应链</x:v>
      </x:c>
      <x:c r="F119" s="51" t="n">
        <x:v>165000</x:v>
      </x:c>
      <x:c r="G119" s="51" t="n">
        <x:v>140250</x:v>
      </x:c>
      <x:c r="H119" s="60" t="n">
        <x:f>IF(G119=0,0,MIN(10,10*F119/G119))</x:f>
        <x:v>10</x:v>
      </x:c>
      <x:c r="I119" s="53" t="n">
        <x:v>7</x:v>
      </x:c>
      <x:c r="J119" s="53" t="n">
        <x:v>8</x:v>
      </x:c>
      <x:c r="K119" s="53" t="n">
        <x:v>8</x:v>
      </x:c>
      <x:c r="L119" s="53" t="n">
        <x:v>6</x:v>
      </x:c>
      <x:c r="M119" s="53" t="n">
        <x:v>5</x:v>
      </x:c>
      <x:c r="N119" s="53" t="str">
        <x:v>PASS</x:v>
      </x:c>
      <x:c r="O119" s="62" t="str">
        <x:v>需核对规格、税费、安装和售后边界</x:v>
      </x:c>
      <x:c r="P119" s="63" t="n">
        <x:f>IF(N119="PASS",H119*'02_假设与情景'!$H$6+I119*'02_假设与情景'!$H$7+J119*'02_假设与情景'!$H$8+K119*'02_假设与情景'!$H$9+L119*'02_假设与情景'!$H$10+M119*'02_假设与情景'!$H$11,0)</x:f>
        <x:v>7.85</x:v>
      </x:c>
      <x:c r="Q119" s="64" t="str">
        <x:f>IF(N119&lt;&gt;"PASS","不推荐-需再验证",IF(P119&gt;=8,"优先候选",IF(P119&gt;=7,"可询价","备选")))</x:f>
        <x:v>可询价</x:v>
      </x:c>
      <x:c r="R119" s="12" t="str">
        <x:v>SRC-013, SRC-014</x:v>
      </x:c>
      <x:c r="S119" s="12" t="str">
        <x:v>进入同规格询价和总拥有成本比较</x:v>
      </x:c>
    </x:row>
    <x:row r="120">
      <x:c r="A120" t="str">
        <x:v>ALT-115</x:v>
      </x:c>
      <x:c r="B120" t="str">
        <x:v>OPEX-004</x:v>
      </x:c>
      <x:c r="C120" t="str">
        <x:v>QC检验人员</x:v>
      </x:c>
      <x:c r="D120" t="str">
        <x:v>品质优选：头部品牌全服务包</x:v>
      </x:c>
      <x:c r="E120" t="str">
        <x:v>头部品牌/专业服务商</x:v>
      </x:c>
      <x:c r="F120" s="51" t="n">
        <x:v>165000</x:v>
      </x:c>
      <x:c r="G120" s="51" t="n">
        <x:v>194700</x:v>
      </x:c>
      <x:c r="H120" s="60" t="n">
        <x:f>IF(G120=0,0,MIN(10,10*F120/G120))</x:f>
        <x:v>8.474576271186441</x:v>
      </x:c>
      <x:c r="I120" s="53" t="n">
        <x:v>9</x:v>
      </x:c>
      <x:c r="J120" s="53" t="n">
        <x:v>9</x:v>
      </x:c>
      <x:c r="K120" s="53" t="n">
        <x:v>7</x:v>
      </x:c>
      <x:c r="L120" s="53" t="n">
        <x:v>9</x:v>
      </x:c>
      <x:c r="M120" s="53" t="n">
        <x:v>6</x:v>
      </x:c>
      <x:c r="N120" s="53" t="str">
        <x:v>PASS</x:v>
      </x:c>
      <x:c r="O120" s="62" t="str">
        <x:v>需核对规格、税费、安装和售后边界</x:v>
      </x:c>
      <x:c r="P120" s="63" t="n">
        <x:f>IF(N120="PASS",H120*'02_假设与情景'!$H$6+I120*'02_假设与情景'!$H$7+J120*'02_假设与情景'!$H$8+K120*'02_假设与情景'!$H$9+L120*'02_假设与情景'!$H$10+M120*'02_假设与情景'!$H$11,0)</x:f>
        <x:v>8.342372881355933</x:v>
      </x:c>
      <x:c r="Q120" s="64" t="str">
        <x:f>IF(N120&lt;&gt;"PASS","不推荐-需再验证",IF(P120&gt;=8,"优先候选",IF(P120&gt;=7,"可询价","备选")))</x:f>
        <x:v>优先候选</x:v>
      </x:c>
      <x:c r="R120" s="12" t="str">
        <x:v>SRC-013, SRC-014</x:v>
      </x:c>
      <x:c r="S120" s="12" t="str">
        <x:v>进入同规格询价和总拥有成本比较</x:v>
      </x:c>
    </x:row>
    <x:row r="121">
      <x:c r="A121" t="str">
        <x:v>ALT-116</x:v>
      </x:c>
      <x:c r="B121" t="str">
        <x:v>OPEX-005</x:v>
      </x:c>
      <x:c r="C121" t="str">
        <x:v>QA与放行人员</x:v>
      </x:c>
      <x:c r="D121" t="str">
        <x:v>成本优选：同规格国产合规供应商双询价</x:v>
      </x:c>
      <x:c r="E121" t="str">
        <x:v>国产/本地供应链</x:v>
      </x:c>
      <x:c r="F121" s="51" t="n">
        <x:v>185000</x:v>
      </x:c>
      <x:c r="G121" s="51" t="n">
        <x:v>157250</x:v>
      </x:c>
      <x:c r="H121" s="60" t="n">
        <x:f>IF(G121=0,0,MIN(10,10*F121/G121))</x:f>
        <x:v>10</x:v>
      </x:c>
      <x:c r="I121" s="53" t="n">
        <x:v>7</x:v>
      </x:c>
      <x:c r="J121" s="53" t="n">
        <x:v>8</x:v>
      </x:c>
      <x:c r="K121" s="53" t="n">
        <x:v>8</x:v>
      </x:c>
      <x:c r="L121" s="53" t="n">
        <x:v>6</x:v>
      </x:c>
      <x:c r="M121" s="53" t="n">
        <x:v>5</x:v>
      </x:c>
      <x:c r="N121" s="53" t="str">
        <x:v>PASS</x:v>
      </x:c>
      <x:c r="O121" s="62" t="str">
        <x:v>需核对规格、税费、安装和售后边界</x:v>
      </x:c>
      <x:c r="P121" s="63" t="n">
        <x:f>IF(N121="PASS",H121*'02_假设与情景'!$H$6+I121*'02_假设与情景'!$H$7+J121*'02_假设与情景'!$H$8+K121*'02_假设与情景'!$H$9+L121*'02_假设与情景'!$H$10+M121*'02_假设与情景'!$H$11,0)</x:f>
        <x:v>7.85</x:v>
      </x:c>
      <x:c r="Q121" s="64" t="str">
        <x:f>IF(N121&lt;&gt;"PASS","不推荐-需再验证",IF(P121&gt;=8,"优先候选",IF(P121&gt;=7,"可询价","备选")))</x:f>
        <x:v>可询价</x:v>
      </x:c>
      <x:c r="R121" s="12" t="str">
        <x:v>SRC-013, SRC-014</x:v>
      </x:c>
      <x:c r="S121" s="12" t="str">
        <x:v>进入同规格询价和总拥有成本比较</x:v>
      </x:c>
    </x:row>
    <x:row r="122">
      <x:c r="A122" t="str">
        <x:v>ALT-117</x:v>
      </x:c>
      <x:c r="B122" t="str">
        <x:v>OPEX-005</x:v>
      </x:c>
      <x:c r="C122" t="str">
        <x:v>QA与放行人员</x:v>
      </x:c>
      <x:c r="D122" t="str">
        <x:v>品质优选：头部品牌全服务包</x:v>
      </x:c>
      <x:c r="E122" t="str">
        <x:v>头部品牌/专业服务商</x:v>
      </x:c>
      <x:c r="F122" s="51" t="n">
        <x:v>185000</x:v>
      </x:c>
      <x:c r="G122" s="51" t="n">
        <x:v>218300</x:v>
      </x:c>
      <x:c r="H122" s="60" t="n">
        <x:f>IF(G122=0,0,MIN(10,10*F122/G122))</x:f>
        <x:v>8.474576271186441</x:v>
      </x:c>
      <x:c r="I122" s="53" t="n">
        <x:v>9</x:v>
      </x:c>
      <x:c r="J122" s="53" t="n">
        <x:v>9</x:v>
      </x:c>
      <x:c r="K122" s="53" t="n">
        <x:v>7</x:v>
      </x:c>
      <x:c r="L122" s="53" t="n">
        <x:v>9</x:v>
      </x:c>
      <x:c r="M122" s="53" t="n">
        <x:v>6</x:v>
      </x:c>
      <x:c r="N122" s="53" t="str">
        <x:v>PASS</x:v>
      </x:c>
      <x:c r="O122" s="62" t="str">
        <x:v>需核对规格、税费、安装和售后边界</x:v>
      </x:c>
      <x:c r="P122" s="63" t="n">
        <x:f>IF(N122="PASS",H122*'02_假设与情景'!$H$6+I122*'02_假设与情景'!$H$7+J122*'02_假设与情景'!$H$8+K122*'02_假设与情景'!$H$9+L122*'02_假设与情景'!$H$10+M122*'02_假设与情景'!$H$11,0)</x:f>
        <x:v>8.342372881355933</x:v>
      </x:c>
      <x:c r="Q122" s="64" t="str">
        <x:f>IF(N122&lt;&gt;"PASS","不推荐-需再验证",IF(P122&gt;=8,"优先候选",IF(P122&gt;=7,"可询价","备选")))</x:f>
        <x:v>优先候选</x:v>
      </x:c>
      <x:c r="R122" s="12" t="str">
        <x:v>SRC-013, SRC-014</x:v>
      </x:c>
      <x:c r="S122" s="12" t="str">
        <x:v>进入同规格询价和总拥有成本比较</x:v>
      </x:c>
    </x:row>
    <x:row r="123">
      <x:c r="A123" t="str">
        <x:v>ALT-118</x:v>
      </x:c>
      <x:c r="B123" t="str">
        <x:v>OPEX-006</x:v>
      </x:c>
      <x:c r="C123" t="str">
        <x:v>工艺与产品研发人员</x:v>
      </x:c>
      <x:c r="D123" t="str">
        <x:v>成本优选：同规格国产合规供应商双询价</x:v>
      </x:c>
      <x:c r="E123" t="str">
        <x:v>国产/本地供应链</x:v>
      </x:c>
      <x:c r="F123" s="51" t="n">
        <x:v>200000</x:v>
      </x:c>
      <x:c r="G123" s="51" t="n">
        <x:v>170000</x:v>
      </x:c>
      <x:c r="H123" s="60" t="n">
        <x:f>IF(G123=0,0,MIN(10,10*F123/G123))</x:f>
        <x:v>10</x:v>
      </x:c>
      <x:c r="I123" s="53" t="n">
        <x:v>7</x:v>
      </x:c>
      <x:c r="J123" s="53" t="n">
        <x:v>8</x:v>
      </x:c>
      <x:c r="K123" s="53" t="n">
        <x:v>8</x:v>
      </x:c>
      <x:c r="L123" s="53" t="n">
        <x:v>6</x:v>
      </x:c>
      <x:c r="M123" s="53" t="n">
        <x:v>5</x:v>
      </x:c>
      <x:c r="N123" s="53" t="str">
        <x:v>PASS</x:v>
      </x:c>
      <x:c r="O123" s="62" t="str">
        <x:v>需核对规格、税费、安装和售后边界</x:v>
      </x:c>
      <x:c r="P123" s="63" t="n">
        <x:f>IF(N123="PASS",H123*'02_假设与情景'!$H$6+I123*'02_假设与情景'!$H$7+J123*'02_假设与情景'!$H$8+K123*'02_假设与情景'!$H$9+L123*'02_假设与情景'!$H$10+M123*'02_假设与情景'!$H$11,0)</x:f>
        <x:v>7.85</x:v>
      </x:c>
      <x:c r="Q123" s="64" t="str">
        <x:f>IF(N123&lt;&gt;"PASS","不推荐-需再验证",IF(P123&gt;=8,"优先候选",IF(P123&gt;=7,"可询价","备选")))</x:f>
        <x:v>可询价</x:v>
      </x:c>
      <x:c r="R123" s="12" t="str">
        <x:v>SRC-013, SRC-014</x:v>
      </x:c>
      <x:c r="S123" s="12" t="str">
        <x:v>进入同规格询价和总拥有成本比较</x:v>
      </x:c>
    </x:row>
    <x:row r="124">
      <x:c r="A124" t="str">
        <x:v>ALT-119</x:v>
      </x:c>
      <x:c r="B124" t="str">
        <x:v>OPEX-006</x:v>
      </x:c>
      <x:c r="C124" t="str">
        <x:v>工艺与产品研发人员</x:v>
      </x:c>
      <x:c r="D124" t="str">
        <x:v>品质优选：头部品牌全服务包</x:v>
      </x:c>
      <x:c r="E124" t="str">
        <x:v>头部品牌/专业服务商</x:v>
      </x:c>
      <x:c r="F124" s="51" t="n">
        <x:v>200000</x:v>
      </x:c>
      <x:c r="G124" s="51" t="n">
        <x:v>236000</x:v>
      </x:c>
      <x:c r="H124" s="60" t="n">
        <x:f>IF(G124=0,0,MIN(10,10*F124/G124))</x:f>
        <x:v>8.474576271186441</x:v>
      </x:c>
      <x:c r="I124" s="53" t="n">
        <x:v>9</x:v>
      </x:c>
      <x:c r="J124" s="53" t="n">
        <x:v>9</x:v>
      </x:c>
      <x:c r="K124" s="53" t="n">
        <x:v>7</x:v>
      </x:c>
      <x:c r="L124" s="53" t="n">
        <x:v>9</x:v>
      </x:c>
      <x:c r="M124" s="53" t="n">
        <x:v>6</x:v>
      </x:c>
      <x:c r="N124" s="53" t="str">
        <x:v>PASS</x:v>
      </x:c>
      <x:c r="O124" s="62" t="str">
        <x:v>需核对规格、税费、安装和售后边界</x:v>
      </x:c>
      <x:c r="P124" s="63" t="n">
        <x:f>IF(N124="PASS",H124*'02_假设与情景'!$H$6+I124*'02_假设与情景'!$H$7+J124*'02_假设与情景'!$H$8+K124*'02_假设与情景'!$H$9+L124*'02_假设与情景'!$H$10+M124*'02_假设与情景'!$H$11,0)</x:f>
        <x:v>8.342372881355933</x:v>
      </x:c>
      <x:c r="Q124" s="64" t="str">
        <x:f>IF(N124&lt;&gt;"PASS","不推荐-需再验证",IF(P124&gt;=8,"优先候选",IF(P124&gt;=7,"可询价","备选")))</x:f>
        <x:v>优先候选</x:v>
      </x:c>
      <x:c r="R124" s="12" t="str">
        <x:v>SRC-013, SRC-014</x:v>
      </x:c>
      <x:c r="S124" s="12" t="str">
        <x:v>进入同规格询价和总拥有成本比较</x:v>
      </x:c>
    </x:row>
    <x:row r="125">
      <x:c r="A125" t="str">
        <x:v>ALT-120</x:v>
      </x:c>
      <x:c r="B125" t="str">
        <x:v>OPEX-007</x:v>
      </x:c>
      <x:c r="C125" t="str">
        <x:v>设备工程、厂务和EHS人员</x:v>
      </x:c>
      <x:c r="D125" t="str">
        <x:v>成本优选：同规格国产合规供应商双询价</x:v>
      </x:c>
      <x:c r="E125" t="str">
        <x:v>国产/本地供应链</x:v>
      </x:c>
      <x:c r="F125" s="51" t="n">
        <x:v>165000</x:v>
      </x:c>
      <x:c r="G125" s="51" t="n">
        <x:v>140250</x:v>
      </x:c>
      <x:c r="H125" s="60" t="n">
        <x:f>IF(G125=0,0,MIN(10,10*F125/G125))</x:f>
        <x:v>10</x:v>
      </x:c>
      <x:c r="I125" s="53" t="n">
        <x:v>7</x:v>
      </x:c>
      <x:c r="J125" s="53" t="n">
        <x:v>8</x:v>
      </x:c>
      <x:c r="K125" s="53" t="n">
        <x:v>8</x:v>
      </x:c>
      <x:c r="L125" s="53" t="n">
        <x:v>6</x:v>
      </x:c>
      <x:c r="M125" s="53" t="n">
        <x:v>5</x:v>
      </x:c>
      <x:c r="N125" s="53" t="str">
        <x:v>PASS</x:v>
      </x:c>
      <x:c r="O125" s="62" t="str">
        <x:v>需核对规格、税费、安装和售后边界</x:v>
      </x:c>
      <x:c r="P125" s="63" t="n">
        <x:f>IF(N125="PASS",H125*'02_假设与情景'!$H$6+I125*'02_假设与情景'!$H$7+J125*'02_假设与情景'!$H$8+K125*'02_假设与情景'!$H$9+L125*'02_假设与情景'!$H$10+M125*'02_假设与情景'!$H$11,0)</x:f>
        <x:v>7.85</x:v>
      </x:c>
      <x:c r="Q125" s="64" t="str">
        <x:f>IF(N125&lt;&gt;"PASS","不推荐-需再验证",IF(P125&gt;=8,"优先候选",IF(P125&gt;=7,"可询价","备选")))</x:f>
        <x:v>可询价</x:v>
      </x:c>
      <x:c r="R125" s="12" t="str">
        <x:v>SRC-013, SRC-014</x:v>
      </x:c>
      <x:c r="S125" s="12" t="str">
        <x:v>进入同规格询价和总拥有成本比较</x:v>
      </x:c>
    </x:row>
    <x:row r="126">
      <x:c r="A126" t="str">
        <x:v>ALT-121</x:v>
      </x:c>
      <x:c r="B126" t="str">
        <x:v>OPEX-007</x:v>
      </x:c>
      <x:c r="C126" t="str">
        <x:v>设备工程、厂务和EHS人员</x:v>
      </x:c>
      <x:c r="D126" t="str">
        <x:v>品质优选：头部品牌全服务包</x:v>
      </x:c>
      <x:c r="E126" t="str">
        <x:v>头部品牌/专业服务商</x:v>
      </x:c>
      <x:c r="F126" s="51" t="n">
        <x:v>165000</x:v>
      </x:c>
      <x:c r="G126" s="51" t="n">
        <x:v>194700</x:v>
      </x:c>
      <x:c r="H126" s="60" t="n">
        <x:f>IF(G126=0,0,MIN(10,10*F126/G126))</x:f>
        <x:v>8.474576271186441</x:v>
      </x:c>
      <x:c r="I126" s="53" t="n">
        <x:v>9</x:v>
      </x:c>
      <x:c r="J126" s="53" t="n">
        <x:v>9</x:v>
      </x:c>
      <x:c r="K126" s="53" t="n">
        <x:v>7</x:v>
      </x:c>
      <x:c r="L126" s="53" t="n">
        <x:v>9</x:v>
      </x:c>
      <x:c r="M126" s="53" t="n">
        <x:v>6</x:v>
      </x:c>
      <x:c r="N126" s="53" t="str">
        <x:v>PASS</x:v>
      </x:c>
      <x:c r="O126" s="62" t="str">
        <x:v>需核对规格、税费、安装和售后边界</x:v>
      </x:c>
      <x:c r="P126" s="63" t="n">
        <x:f>IF(N126="PASS",H126*'02_假设与情景'!$H$6+I126*'02_假设与情景'!$H$7+J126*'02_假设与情景'!$H$8+K126*'02_假设与情景'!$H$9+L126*'02_假设与情景'!$H$10+M126*'02_假设与情景'!$H$11,0)</x:f>
        <x:v>8.342372881355933</x:v>
      </x:c>
      <x:c r="Q126" s="64" t="str">
        <x:f>IF(N126&lt;&gt;"PASS","不推荐-需再验证",IF(P126&gt;=8,"优先候选",IF(P126&gt;=7,"可询价","备选")))</x:f>
        <x:v>优先候选</x:v>
      </x:c>
      <x:c r="R126" s="12" t="str">
        <x:v>SRC-013, SRC-014</x:v>
      </x:c>
      <x:c r="S126" s="12" t="str">
        <x:v>进入同规格询价和总拥有成本比较</x:v>
      </x:c>
    </x:row>
    <x:row r="127">
      <x:c r="A127" t="str">
        <x:v>ALT-122</x:v>
      </x:c>
      <x:c r="B127" t="str">
        <x:v>OPEX-008</x:v>
      </x:c>
      <x:c r="C127" t="str">
        <x:v>仓储、物料和冷链人员</x:v>
      </x:c>
      <x:c r="D127" t="str">
        <x:v>成本优选：同规格国产合规供应商双询价</x:v>
      </x:c>
      <x:c r="E127" t="str">
        <x:v>国产/本地供应链</x:v>
      </x:c>
      <x:c r="F127" s="51" t="n">
        <x:v>115000</x:v>
      </x:c>
      <x:c r="G127" s="51" t="n">
        <x:v>97750</x:v>
      </x:c>
      <x:c r="H127" s="60" t="n">
        <x:f>IF(G127=0,0,MIN(10,10*F127/G127))</x:f>
        <x:v>10</x:v>
      </x:c>
      <x:c r="I127" s="53" t="n">
        <x:v>7</x:v>
      </x:c>
      <x:c r="J127" s="53" t="n">
        <x:v>8</x:v>
      </x:c>
      <x:c r="K127" s="53" t="n">
        <x:v>8</x:v>
      </x:c>
      <x:c r="L127" s="53" t="n">
        <x:v>6</x:v>
      </x:c>
      <x:c r="M127" s="53" t="n">
        <x:v>5</x:v>
      </x:c>
      <x:c r="N127" s="53" t="str">
        <x:v>PASS</x:v>
      </x:c>
      <x:c r="O127" s="62" t="str">
        <x:v>需核对规格、税费、安装和售后边界</x:v>
      </x:c>
      <x:c r="P127" s="63" t="n">
        <x:f>IF(N127="PASS",H127*'02_假设与情景'!$H$6+I127*'02_假设与情景'!$H$7+J127*'02_假设与情景'!$H$8+K127*'02_假设与情景'!$H$9+L127*'02_假设与情景'!$H$10+M127*'02_假设与情景'!$H$11,0)</x:f>
        <x:v>7.85</x:v>
      </x:c>
      <x:c r="Q127" s="64" t="str">
        <x:f>IF(N127&lt;&gt;"PASS","不推荐-需再验证",IF(P127&gt;=8,"优先候选",IF(P127&gt;=7,"可询价","备选")))</x:f>
        <x:v>可询价</x:v>
      </x:c>
      <x:c r="R127" s="12" t="str">
        <x:v>SRC-013, SRC-014</x:v>
      </x:c>
      <x:c r="S127" s="12" t="str">
        <x:v>进入同规格询价和总拥有成本比较</x:v>
      </x:c>
    </x:row>
    <x:row r="128">
      <x:c r="A128" t="str">
        <x:v>ALT-123</x:v>
      </x:c>
      <x:c r="B128" t="str">
        <x:v>OPEX-008</x:v>
      </x:c>
      <x:c r="C128" t="str">
        <x:v>仓储、物料和冷链人员</x:v>
      </x:c>
      <x:c r="D128" t="str">
        <x:v>品质优选：头部品牌全服务包</x:v>
      </x:c>
      <x:c r="E128" t="str">
        <x:v>头部品牌/专业服务商</x:v>
      </x:c>
      <x:c r="F128" s="51" t="n">
        <x:v>115000</x:v>
      </x:c>
      <x:c r="G128" s="51" t="n">
        <x:v>135700</x:v>
      </x:c>
      <x:c r="H128" s="60" t="n">
        <x:f>IF(G128=0,0,MIN(10,10*F128/G128))</x:f>
        <x:v>8.474576271186441</x:v>
      </x:c>
      <x:c r="I128" s="53" t="n">
        <x:v>9</x:v>
      </x:c>
      <x:c r="J128" s="53" t="n">
        <x:v>9</x:v>
      </x:c>
      <x:c r="K128" s="53" t="n">
        <x:v>7</x:v>
      </x:c>
      <x:c r="L128" s="53" t="n">
        <x:v>9</x:v>
      </x:c>
      <x:c r="M128" s="53" t="n">
        <x:v>6</x:v>
      </x:c>
      <x:c r="N128" s="53" t="str">
        <x:v>PASS</x:v>
      </x:c>
      <x:c r="O128" s="62" t="str">
        <x:v>需核对规格、税费、安装和售后边界</x:v>
      </x:c>
      <x:c r="P128" s="63" t="n">
        <x:f>IF(N128="PASS",H128*'02_假设与情景'!$H$6+I128*'02_假设与情景'!$H$7+J128*'02_假设与情景'!$H$8+K128*'02_假设与情景'!$H$9+L128*'02_假设与情景'!$H$10+M128*'02_假设与情景'!$H$11,0)</x:f>
        <x:v>8.342372881355933</x:v>
      </x:c>
      <x:c r="Q128" s="64" t="str">
        <x:f>IF(N128&lt;&gt;"PASS","不推荐-需再验证",IF(P128&gt;=8,"优先候选",IF(P128&gt;=7,"可询价","备选")))</x:f>
        <x:v>优先候选</x:v>
      </x:c>
      <x:c r="R128" s="12" t="str">
        <x:v>SRC-013, SRC-014</x:v>
      </x:c>
      <x:c r="S128" s="12" t="str">
        <x:v>进入同规格询价和总拥有成本比较</x:v>
      </x:c>
    </x:row>
    <x:row r="129">
      <x:c r="A129" t="str">
        <x:v>ALT-124</x:v>
      </x:c>
      <x:c r="B129" t="str">
        <x:v>OPEX-009</x:v>
      </x:c>
      <x:c r="C129" t="str">
        <x:v>法规、注册与临床支持人员</x:v>
      </x:c>
      <x:c r="D129" t="str">
        <x:v>成本优选：同规格国产合规供应商双询价</x:v>
      </x:c>
      <x:c r="E129" t="str">
        <x:v>国产/本地供应链</x:v>
      </x:c>
      <x:c r="F129" s="51" t="n">
        <x:v>200000</x:v>
      </x:c>
      <x:c r="G129" s="51" t="n">
        <x:v>170000</x:v>
      </x:c>
      <x:c r="H129" s="60" t="n">
        <x:f>IF(G129=0,0,MIN(10,10*F129/G129))</x:f>
        <x:v>10</x:v>
      </x:c>
      <x:c r="I129" s="53" t="n">
        <x:v>7</x:v>
      </x:c>
      <x:c r="J129" s="53" t="n">
        <x:v>8</x:v>
      </x:c>
      <x:c r="K129" s="53" t="n">
        <x:v>8</x:v>
      </x:c>
      <x:c r="L129" s="53" t="n">
        <x:v>6</x:v>
      </x:c>
      <x:c r="M129" s="53" t="n">
        <x:v>5</x:v>
      </x:c>
      <x:c r="N129" s="53" t="str">
        <x:v>PASS</x:v>
      </x:c>
      <x:c r="O129" s="62" t="str">
        <x:v>需核对规格、税费、安装和售后边界</x:v>
      </x:c>
      <x:c r="P129" s="63" t="n">
        <x:f>IF(N129="PASS",H129*'02_假设与情景'!$H$6+I129*'02_假设与情景'!$H$7+J129*'02_假设与情景'!$H$8+K129*'02_假设与情景'!$H$9+L129*'02_假设与情景'!$H$10+M129*'02_假设与情景'!$H$11,0)</x:f>
        <x:v>7.85</x:v>
      </x:c>
      <x:c r="Q129" s="64" t="str">
        <x:f>IF(N129&lt;&gt;"PASS","不推荐-需再验证",IF(P129&gt;=8,"优先候选",IF(P129&gt;=7,"可询价","备选")))</x:f>
        <x:v>可询价</x:v>
      </x:c>
      <x:c r="R129" s="12" t="str">
        <x:v>SRC-013, SRC-014</x:v>
      </x:c>
      <x:c r="S129" s="12" t="str">
        <x:v>进入同规格询价和总拥有成本比较</x:v>
      </x:c>
    </x:row>
    <x:row r="130">
      <x:c r="A130" t="str">
        <x:v>ALT-125</x:v>
      </x:c>
      <x:c r="B130" t="str">
        <x:v>OPEX-009</x:v>
      </x:c>
      <x:c r="C130" t="str">
        <x:v>法规、注册与临床支持人员</x:v>
      </x:c>
      <x:c r="D130" t="str">
        <x:v>品质优选：头部品牌全服务包</x:v>
      </x:c>
      <x:c r="E130" t="str">
        <x:v>头部品牌/专业服务商</x:v>
      </x:c>
      <x:c r="F130" s="51" t="n">
        <x:v>200000</x:v>
      </x:c>
      <x:c r="G130" s="51" t="n">
        <x:v>236000</x:v>
      </x:c>
      <x:c r="H130" s="60" t="n">
        <x:f>IF(G130=0,0,MIN(10,10*F130/G130))</x:f>
        <x:v>8.474576271186441</x:v>
      </x:c>
      <x:c r="I130" s="53" t="n">
        <x:v>9</x:v>
      </x:c>
      <x:c r="J130" s="53" t="n">
        <x:v>9</x:v>
      </x:c>
      <x:c r="K130" s="53" t="n">
        <x:v>7</x:v>
      </x:c>
      <x:c r="L130" s="53" t="n">
        <x:v>9</x:v>
      </x:c>
      <x:c r="M130" s="53" t="n">
        <x:v>6</x:v>
      </x:c>
      <x:c r="N130" s="53" t="str">
        <x:v>PASS</x:v>
      </x:c>
      <x:c r="O130" s="62" t="str">
        <x:v>需核对规格、税费、安装和售后边界</x:v>
      </x:c>
      <x:c r="P130" s="63" t="n">
        <x:f>IF(N130="PASS",H130*'02_假设与情景'!$H$6+I130*'02_假设与情景'!$H$7+J130*'02_假设与情景'!$H$8+K130*'02_假设与情景'!$H$9+L130*'02_假设与情景'!$H$10+M130*'02_假设与情景'!$H$11,0)</x:f>
        <x:v>8.342372881355933</x:v>
      </x:c>
      <x:c r="Q130" s="64" t="str">
        <x:f>IF(N130&lt;&gt;"PASS","不推荐-需再验证",IF(P130&gt;=8,"优先候选",IF(P130&gt;=7,"可询价","备选")))</x:f>
        <x:v>优先候选</x:v>
      </x:c>
      <x:c r="R130" s="12" t="str">
        <x:v>SRC-013, SRC-014</x:v>
      </x:c>
      <x:c r="S130" s="12" t="str">
        <x:v>进入同规格询价和总拥有成本比较</x:v>
      </x:c>
    </x:row>
    <x:row r="131">
      <x:c r="A131" t="str">
        <x:v>ALT-126</x:v>
      </x:c>
      <x:c r="B131" t="str">
        <x:v>OPEX-010</x:v>
      </x:c>
      <x:c r="C131" t="str">
        <x:v>财务、采购、HR与行政</x:v>
      </x:c>
      <x:c r="D131" t="str">
        <x:v>成本优选：同规格国产合规供应商双询价</x:v>
      </x:c>
      <x:c r="E131" t="str">
        <x:v>国产/本地供应链</x:v>
      </x:c>
      <x:c r="F131" s="51" t="n">
        <x:v>135000</x:v>
      </x:c>
      <x:c r="G131" s="51" t="n">
        <x:v>114750</x:v>
      </x:c>
      <x:c r="H131" s="60" t="n">
        <x:f>IF(G131=0,0,MIN(10,10*F131/G131))</x:f>
        <x:v>10</x:v>
      </x:c>
      <x:c r="I131" s="53" t="n">
        <x:v>7</x:v>
      </x:c>
      <x:c r="J131" s="53" t="n">
        <x:v>8</x:v>
      </x:c>
      <x:c r="K131" s="53" t="n">
        <x:v>8</x:v>
      </x:c>
      <x:c r="L131" s="53" t="n">
        <x:v>6</x:v>
      </x:c>
      <x:c r="M131" s="53" t="n">
        <x:v>5</x:v>
      </x:c>
      <x:c r="N131" s="53" t="str">
        <x:v>PASS</x:v>
      </x:c>
      <x:c r="O131" s="62" t="str">
        <x:v>需核对规格、税费、安装和售后边界</x:v>
      </x:c>
      <x:c r="P131" s="63" t="n">
        <x:f>IF(N131="PASS",H131*'02_假设与情景'!$H$6+I131*'02_假设与情景'!$H$7+J131*'02_假设与情景'!$H$8+K131*'02_假设与情景'!$H$9+L131*'02_假设与情景'!$H$10+M131*'02_假设与情景'!$H$11,0)</x:f>
        <x:v>7.85</x:v>
      </x:c>
      <x:c r="Q131" s="64" t="str">
        <x:f>IF(N131&lt;&gt;"PASS","不推荐-需再验证",IF(P131&gt;=8,"优先候选",IF(P131&gt;=7,"可询价","备选")))</x:f>
        <x:v>可询价</x:v>
      </x:c>
      <x:c r="R131" s="12" t="str">
        <x:v>SRC-013, SRC-014</x:v>
      </x:c>
      <x:c r="S131" s="12" t="str">
        <x:v>进入同规格询价和总拥有成本比较</x:v>
      </x:c>
    </x:row>
    <x:row r="132">
      <x:c r="A132" t="str">
        <x:v>ALT-127</x:v>
      </x:c>
      <x:c r="B132" t="str">
        <x:v>OPEX-010</x:v>
      </x:c>
      <x:c r="C132" t="str">
        <x:v>财务、采购、HR与行政</x:v>
      </x:c>
      <x:c r="D132" t="str">
        <x:v>品质优选：头部品牌全服务包</x:v>
      </x:c>
      <x:c r="E132" t="str">
        <x:v>头部品牌/专业服务商</x:v>
      </x:c>
      <x:c r="F132" s="51" t="n">
        <x:v>135000</x:v>
      </x:c>
      <x:c r="G132" s="51" t="n">
        <x:v>159300</x:v>
      </x:c>
      <x:c r="H132" s="60" t="n">
        <x:f>IF(G132=0,0,MIN(10,10*F132/G132))</x:f>
        <x:v>8.474576271186441</x:v>
      </x:c>
      <x:c r="I132" s="53" t="n">
        <x:v>9</x:v>
      </x:c>
      <x:c r="J132" s="53" t="n">
        <x:v>9</x:v>
      </x:c>
      <x:c r="K132" s="53" t="n">
        <x:v>7</x:v>
      </x:c>
      <x:c r="L132" s="53" t="n">
        <x:v>9</x:v>
      </x:c>
      <x:c r="M132" s="53" t="n">
        <x:v>6</x:v>
      </x:c>
      <x:c r="N132" s="53" t="str">
        <x:v>PASS</x:v>
      </x:c>
      <x:c r="O132" s="62" t="str">
        <x:v>需核对规格、税费、安装和售后边界</x:v>
      </x:c>
      <x:c r="P132" s="63" t="n">
        <x:f>IF(N132="PASS",H132*'02_假设与情景'!$H$6+I132*'02_假设与情景'!$H$7+J132*'02_假设与情景'!$H$8+K132*'02_假设与情景'!$H$9+L132*'02_假设与情景'!$H$10+M132*'02_假设与情景'!$H$11,0)</x:f>
        <x:v>8.342372881355933</x:v>
      </x:c>
      <x:c r="Q132" s="64" t="str">
        <x:f>IF(N132&lt;&gt;"PASS","不推荐-需再验证",IF(P132&gt;=8,"优先候选",IF(P132&gt;=7,"可询价","备选")))</x:f>
        <x:v>优先候选</x:v>
      </x:c>
      <x:c r="R132" s="12" t="str">
        <x:v>SRC-013, SRC-014</x:v>
      </x:c>
      <x:c r="S132" s="12" t="str">
        <x:v>进入同规格询价和总拥有成本比较</x:v>
      </x:c>
    </x:row>
    <x:row r="133">
      <x:c r="A133" t="str">
        <x:v>ALT-128</x:v>
      </x:c>
      <x:c r="B133" t="str">
        <x:v>OPEX-011</x:v>
      </x:c>
      <x:c r="C133" t="str">
        <x:v>市政水、纯化水制备和排水</x:v>
      </x:c>
      <x:c r="D133" t="str">
        <x:v>成本优选：同规格国产合规供应商双询价</x:v>
      </x:c>
      <x:c r="E133" t="str">
        <x:v>国产/本地供应链</x:v>
      </x:c>
      <x:c r="F133" s="51" t="n">
        <x:v>4.7</x:v>
      </x:c>
      <x:c r="G133" s="51" t="n">
        <x:v>3.995</x:v>
      </x:c>
      <x:c r="H133" s="60" t="n">
        <x:f>IF(G133=0,0,MIN(10,10*F133/G133))</x:f>
        <x:v>10</x:v>
      </x:c>
      <x:c r="I133" s="53" t="n">
        <x:v>7</x:v>
      </x:c>
      <x:c r="J133" s="53" t="n">
        <x:v>8</x:v>
      </x:c>
      <x:c r="K133" s="53" t="n">
        <x:v>8</x:v>
      </x:c>
      <x:c r="L133" s="53" t="n">
        <x:v>6</x:v>
      </x:c>
      <x:c r="M133" s="53" t="n">
        <x:v>5</x:v>
      </x:c>
      <x:c r="N133" s="53" t="str">
        <x:v>PASS</x:v>
      </x:c>
      <x:c r="O133" s="62" t="str">
        <x:v>需核对规格、税费、安装和售后边界</x:v>
      </x:c>
      <x:c r="P133" s="63" t="n">
        <x:f>IF(N133="PASS",H133*'02_假设与情景'!$H$6+I133*'02_假设与情景'!$H$7+J133*'02_假设与情景'!$H$8+K133*'02_假设与情景'!$H$9+L133*'02_假设与情景'!$H$10+M133*'02_假设与情景'!$H$11,0)</x:f>
        <x:v>7.85</x:v>
      </x:c>
      <x:c r="Q133" s="64" t="str">
        <x:f>IF(N133&lt;&gt;"PASS","不推荐-需再验证",IF(P133&gt;=8,"优先候选",IF(P133&gt;=7,"可询价","备选")))</x:f>
        <x:v>可询价</x:v>
      </x:c>
      <x:c r="R133" s="12" t="str">
        <x:v>SRC-016</x:v>
      </x:c>
      <x:c r="S133" s="12" t="str">
        <x:v>进入同规格询价和总拥有成本比较</x:v>
      </x:c>
    </x:row>
    <x:row r="134">
      <x:c r="A134" t="str">
        <x:v>ALT-129</x:v>
      </x:c>
      <x:c r="B134" t="str">
        <x:v>OPEX-011</x:v>
      </x:c>
      <x:c r="C134" t="str">
        <x:v>市政水、纯化水制备和排水</x:v>
      </x:c>
      <x:c r="D134" t="str">
        <x:v>品质优选：头部品牌全服务包</x:v>
      </x:c>
      <x:c r="E134" t="str">
        <x:v>头部品牌/专业服务商</x:v>
      </x:c>
      <x:c r="F134" s="51" t="n">
        <x:v>4.7</x:v>
      </x:c>
      <x:c r="G134" s="51" t="n">
        <x:v>5.546</x:v>
      </x:c>
      <x:c r="H134" s="60" t="n">
        <x:f>IF(G134=0,0,MIN(10,10*F134/G134))</x:f>
        <x:v>8.47457627118644</x:v>
      </x:c>
      <x:c r="I134" s="53" t="n">
        <x:v>9</x:v>
      </x:c>
      <x:c r="J134" s="53" t="n">
        <x:v>9</x:v>
      </x:c>
      <x:c r="K134" s="53" t="n">
        <x:v>7</x:v>
      </x:c>
      <x:c r="L134" s="53" t="n">
        <x:v>9</x:v>
      </x:c>
      <x:c r="M134" s="53" t="n">
        <x:v>5</x:v>
      </x:c>
      <x:c r="N134" s="53" t="str">
        <x:v>PASS</x:v>
      </x:c>
      <x:c r="O134" s="62" t="str">
        <x:v>需核对规格、税费、安装和售后边界</x:v>
      </x:c>
      <x:c r="P134" s="63" t="n">
        <x:f>IF(N134="PASS",H134*'02_假设与情景'!$H$6+I134*'02_假设与情景'!$H$7+J134*'02_假设与情景'!$H$8+K134*'02_假设与情景'!$H$9+L134*'02_假设与情景'!$H$10+M134*'02_假设与情景'!$H$11,0)</x:f>
        <x:v>8.242372881355932</x:v>
      </x:c>
      <x:c r="Q134" s="64" t="str">
        <x:f>IF(N134&lt;&gt;"PASS","不推荐-需再验证",IF(P134&gt;=8,"优先候选",IF(P134&gt;=7,"可询价","备选")))</x:f>
        <x:v>优先候选</x:v>
      </x:c>
      <x:c r="R134" s="12" t="str">
        <x:v>SRC-016</x:v>
      </x:c>
      <x:c r="S134" s="12" t="str">
        <x:v>进入同规格询价和总拥有成本比较</x:v>
      </x:c>
    </x:row>
    <x:row r="135">
      <x:c r="A135" t="str">
        <x:v>ALT-130</x:v>
      </x:c>
      <x:c r="B135" t="str">
        <x:v>OPEX-012</x:v>
      </x:c>
      <x:c r="C135" t="str">
        <x:v>生产、检验和办公基础电耗</x:v>
      </x:c>
      <x:c r="D135" t="str">
        <x:v>成本优选：同规格国产合规供应商双询价</x:v>
      </x:c>
      <x:c r="E135" t="str">
        <x:v>国产/本地供应链</x:v>
      </x:c>
      <x:c r="F135" s="51" t="n">
        <x:v>0.59</x:v>
      </x:c>
      <x:c r="G135" s="51" t="n">
        <x:v>0.5015</x:v>
      </x:c>
      <x:c r="H135" s="60" t="n">
        <x:f>IF(G135=0,0,MIN(10,10*F135/G135))</x:f>
        <x:v>10</x:v>
      </x:c>
      <x:c r="I135" s="53" t="n">
        <x:v>7</x:v>
      </x:c>
      <x:c r="J135" s="53" t="n">
        <x:v>8</x:v>
      </x:c>
      <x:c r="K135" s="53" t="n">
        <x:v>8</x:v>
      </x:c>
      <x:c r="L135" s="53" t="n">
        <x:v>6</x:v>
      </x:c>
      <x:c r="M135" s="53" t="n">
        <x:v>5</x:v>
      </x:c>
      <x:c r="N135" s="53" t="str">
        <x:v>PASS</x:v>
      </x:c>
      <x:c r="O135" s="62" t="str">
        <x:v>需核对规格、税费、安装和售后边界</x:v>
      </x:c>
      <x:c r="P135" s="63" t="n">
        <x:f>IF(N135="PASS",H135*'02_假设与情景'!$H$6+I135*'02_假设与情景'!$H$7+J135*'02_假设与情景'!$H$8+K135*'02_假设与情景'!$H$9+L135*'02_假设与情景'!$H$10+M135*'02_假设与情景'!$H$11,0)</x:f>
        <x:v>7.85</x:v>
      </x:c>
      <x:c r="Q135" s="64" t="str">
        <x:f>IF(N135&lt;&gt;"PASS","不推荐-需再验证",IF(P135&gt;=8,"优先候选",IF(P135&gt;=7,"可询价","备选")))</x:f>
        <x:v>可询价</x:v>
      </x:c>
      <x:c r="R135" s="12" t="str">
        <x:v>SRC-012</x:v>
      </x:c>
      <x:c r="S135" s="12" t="str">
        <x:v>进入同规格询价和总拥有成本比较</x:v>
      </x:c>
    </x:row>
    <x:row r="136">
      <x:c r="A136" t="str">
        <x:v>ALT-131</x:v>
      </x:c>
      <x:c r="B136" t="str">
        <x:v>OPEX-012</x:v>
      </x:c>
      <x:c r="C136" t="str">
        <x:v>生产、检验和办公基础电耗</x:v>
      </x:c>
      <x:c r="D136" t="str">
        <x:v>品质优选：头部品牌全服务包</x:v>
      </x:c>
      <x:c r="E136" t="str">
        <x:v>头部品牌/专业服务商</x:v>
      </x:c>
      <x:c r="F136" s="51" t="n">
        <x:v>0.59</x:v>
      </x:c>
      <x:c r="G136" s="51" t="n">
        <x:v>0.6962</x:v>
      </x:c>
      <x:c r="H136" s="60" t="n">
        <x:f>IF(G136=0,0,MIN(10,10*F136/G136))</x:f>
        <x:v>8.47457627118644</x:v>
      </x:c>
      <x:c r="I136" s="53" t="n">
        <x:v>9</x:v>
      </x:c>
      <x:c r="J136" s="53" t="n">
        <x:v>9</x:v>
      </x:c>
      <x:c r="K136" s="53" t="n">
        <x:v>7</x:v>
      </x:c>
      <x:c r="L136" s="53" t="n">
        <x:v>9</x:v>
      </x:c>
      <x:c r="M136" s="53" t="n">
        <x:v>6</x:v>
      </x:c>
      <x:c r="N136" s="53" t="str">
        <x:v>PASS</x:v>
      </x:c>
      <x:c r="O136" s="62" t="str">
        <x:v>需核对规格、税费、安装和售后边界</x:v>
      </x:c>
      <x:c r="P136" s="63" t="n">
        <x:f>IF(N136="PASS",H136*'02_假设与情景'!$H$6+I136*'02_假设与情景'!$H$7+J136*'02_假设与情景'!$H$8+K136*'02_假设与情景'!$H$9+L136*'02_假设与情景'!$H$10+M136*'02_假设与情景'!$H$11,0)</x:f>
        <x:v>8.342372881355931</x:v>
      </x:c>
      <x:c r="Q136" s="64" t="str">
        <x:f>IF(N136&lt;&gt;"PASS","不推荐-需再验证",IF(P136&gt;=8,"优先候选",IF(P136&gt;=7,"可询价","备选")))</x:f>
        <x:v>优先候选</x:v>
      </x:c>
      <x:c r="R136" s="12" t="str">
        <x:v>SRC-012</x:v>
      </x:c>
      <x:c r="S136" s="12" t="str">
        <x:v>进入同规格询价和总拥有成本比较</x:v>
      </x:c>
    </x:row>
    <x:row r="137">
      <x:c r="A137" t="str">
        <x:v>ALT-132</x:v>
      </x:c>
      <x:c r="B137" t="str">
        <x:v>OPEX-013</x:v>
      </x:c>
      <x:c r="C137" t="str">
        <x:v>洁净HVAC全年电耗</x:v>
      </x:c>
      <x:c r="D137" t="str">
        <x:v>成本优选：同规格国产合规供应商双询价</x:v>
      </x:c>
      <x:c r="E137" t="str">
        <x:v>国产/本地供应链</x:v>
      </x:c>
      <x:c r="F137" s="51" t="n">
        <x:v>0.59</x:v>
      </x:c>
      <x:c r="G137" s="51" t="n">
        <x:v>0.5015</x:v>
      </x:c>
      <x:c r="H137" s="60" t="n">
        <x:f>IF(G137=0,0,MIN(10,10*F137/G137))</x:f>
        <x:v>10</x:v>
      </x:c>
      <x:c r="I137" s="53" t="n">
        <x:v>7</x:v>
      </x:c>
      <x:c r="J137" s="53" t="n">
        <x:v>8</x:v>
      </x:c>
      <x:c r="K137" s="53" t="n">
        <x:v>8</x:v>
      </x:c>
      <x:c r="L137" s="53" t="n">
        <x:v>6</x:v>
      </x:c>
      <x:c r="M137" s="53" t="n">
        <x:v>5</x:v>
      </x:c>
      <x:c r="N137" s="53" t="str">
        <x:v>PASS</x:v>
      </x:c>
      <x:c r="O137" s="62" t="str">
        <x:v>需核对规格、税费、安装和售后边界</x:v>
      </x:c>
      <x:c r="P137" s="63" t="n">
        <x:f>IF(N137="PASS",H137*'02_假设与情景'!$H$6+I137*'02_假设与情景'!$H$7+J137*'02_假设与情景'!$H$8+K137*'02_假设与情景'!$H$9+L137*'02_假设与情景'!$H$10+M137*'02_假设与情景'!$H$11,0)</x:f>
        <x:v>7.85</x:v>
      </x:c>
      <x:c r="Q137" s="64" t="str">
        <x:f>IF(N137&lt;&gt;"PASS","不推荐-需再验证",IF(P137&gt;=8,"优先候选",IF(P137&gt;=7,"可询价","备选")))</x:f>
        <x:v>可询价</x:v>
      </x:c>
      <x:c r="R137" s="12" t="str">
        <x:v>SRC-012</x:v>
      </x:c>
      <x:c r="S137" s="12" t="str">
        <x:v>进入同规格询价和总拥有成本比较</x:v>
      </x:c>
    </x:row>
    <x:row r="138">
      <x:c r="A138" t="str">
        <x:v>ALT-133</x:v>
      </x:c>
      <x:c r="B138" t="str">
        <x:v>OPEX-013</x:v>
      </x:c>
      <x:c r="C138" t="str">
        <x:v>洁净HVAC全年电耗</x:v>
      </x:c>
      <x:c r="D138" t="str">
        <x:v>品质优选：头部品牌全服务包</x:v>
      </x:c>
      <x:c r="E138" t="str">
        <x:v>头部品牌/专业服务商</x:v>
      </x:c>
      <x:c r="F138" s="51" t="n">
        <x:v>0.59</x:v>
      </x:c>
      <x:c r="G138" s="51" t="n">
        <x:v>0.6962</x:v>
      </x:c>
      <x:c r="H138" s="60" t="n">
        <x:f>IF(G138=0,0,MIN(10,10*F138/G138))</x:f>
        <x:v>8.47457627118644</x:v>
      </x:c>
      <x:c r="I138" s="53" t="n">
        <x:v>9</x:v>
      </x:c>
      <x:c r="J138" s="53" t="n">
        <x:v>9</x:v>
      </x:c>
      <x:c r="K138" s="53" t="n">
        <x:v>7</x:v>
      </x:c>
      <x:c r="L138" s="53" t="n">
        <x:v>9</x:v>
      </x:c>
      <x:c r="M138" s="53" t="n">
        <x:v>6</x:v>
      </x:c>
      <x:c r="N138" s="53" t="str">
        <x:v>PASS</x:v>
      </x:c>
      <x:c r="O138" s="62" t="str">
        <x:v>需核对规格、税费、安装和售后边界</x:v>
      </x:c>
      <x:c r="P138" s="63" t="n">
        <x:f>IF(N138="PASS",H138*'02_假设与情景'!$H$6+I138*'02_假设与情景'!$H$7+J138*'02_假设与情景'!$H$8+K138*'02_假设与情景'!$H$9+L138*'02_假设与情景'!$H$10+M138*'02_假设与情景'!$H$11,0)</x:f>
        <x:v>8.342372881355931</x:v>
      </x:c>
      <x:c r="Q138" s="64" t="str">
        <x:f>IF(N138&lt;&gt;"PASS","不推荐-需再验证",IF(P138&gt;=8,"优先候选",IF(P138&gt;=7,"可询价","备选")))</x:f>
        <x:v>优先候选</x:v>
      </x:c>
      <x:c r="R138" s="12" t="str">
        <x:v>SRC-012</x:v>
      </x:c>
      <x:c r="S138" s="12" t="str">
        <x:v>进入同规格询价和总拥有成本比较</x:v>
      </x:c>
    </x:row>
    <x:row r="139">
      <x:c r="A139" t="str">
        <x:v>ALT-134</x:v>
      </x:c>
      <x:c r="B139" t="str">
        <x:v>OPEX-014</x:v>
      </x:c>
      <x:c r="C139" t="str">
        <x:v>-20C与2-8C冷库电耗</x:v>
      </x:c>
      <x:c r="D139" t="str">
        <x:v>成本优选：同规格国产合规供应商双询价</x:v>
      </x:c>
      <x:c r="E139" t="str">
        <x:v>国产/本地供应链</x:v>
      </x:c>
      <x:c r="F139" s="51" t="n">
        <x:v>0.59</x:v>
      </x:c>
      <x:c r="G139" s="51" t="n">
        <x:v>0.5015</x:v>
      </x:c>
      <x:c r="H139" s="60" t="n">
        <x:f>IF(G139=0,0,MIN(10,10*F139/G139))</x:f>
        <x:v>10</x:v>
      </x:c>
      <x:c r="I139" s="53" t="n">
        <x:v>7</x:v>
      </x:c>
      <x:c r="J139" s="53" t="n">
        <x:v>8</x:v>
      </x:c>
      <x:c r="K139" s="53" t="n">
        <x:v>8</x:v>
      </x:c>
      <x:c r="L139" s="53" t="n">
        <x:v>6</x:v>
      </x:c>
      <x:c r="M139" s="53" t="n">
        <x:v>5</x:v>
      </x:c>
      <x:c r="N139" s="53" t="str">
        <x:v>PASS</x:v>
      </x:c>
      <x:c r="O139" s="62" t="str">
        <x:v>需核对规格、税费、安装和售后边界</x:v>
      </x:c>
      <x:c r="P139" s="63" t="n">
        <x:f>IF(N139="PASS",H139*'02_假设与情景'!$H$6+I139*'02_假设与情景'!$H$7+J139*'02_假设与情景'!$H$8+K139*'02_假设与情景'!$H$9+L139*'02_假设与情景'!$H$10+M139*'02_假设与情景'!$H$11,0)</x:f>
        <x:v>7.85</x:v>
      </x:c>
      <x:c r="Q139" s="64" t="str">
        <x:f>IF(N139&lt;&gt;"PASS","不推荐-需再验证",IF(P139&gt;=8,"优先候选",IF(P139&gt;=7,"可询价","备选")))</x:f>
        <x:v>可询价</x:v>
      </x:c>
      <x:c r="R139" s="12" t="str">
        <x:v>SRC-012</x:v>
      </x:c>
      <x:c r="S139" s="12" t="str">
        <x:v>进入同规格询价和总拥有成本比较</x:v>
      </x:c>
    </x:row>
    <x:row r="140">
      <x:c r="A140" t="str">
        <x:v>ALT-135</x:v>
      </x:c>
      <x:c r="B140" t="str">
        <x:v>OPEX-014</x:v>
      </x:c>
      <x:c r="C140" t="str">
        <x:v>-20C与2-8C冷库电耗</x:v>
      </x:c>
      <x:c r="D140" t="str">
        <x:v>品质优选：头部品牌全服务包</x:v>
      </x:c>
      <x:c r="E140" t="str">
        <x:v>头部品牌/专业服务商</x:v>
      </x:c>
      <x:c r="F140" s="51" t="n">
        <x:v>0.59</x:v>
      </x:c>
      <x:c r="G140" s="51" t="n">
        <x:v>0.6962</x:v>
      </x:c>
      <x:c r="H140" s="60" t="n">
        <x:f>IF(G140=0,0,MIN(10,10*F140/G140))</x:f>
        <x:v>8.47457627118644</x:v>
      </x:c>
      <x:c r="I140" s="53" t="n">
        <x:v>9</x:v>
      </x:c>
      <x:c r="J140" s="53" t="n">
        <x:v>9</x:v>
      </x:c>
      <x:c r="K140" s="53" t="n">
        <x:v>7</x:v>
      </x:c>
      <x:c r="L140" s="53" t="n">
        <x:v>9</x:v>
      </x:c>
      <x:c r="M140" s="53" t="n">
        <x:v>6</x:v>
      </x:c>
      <x:c r="N140" s="53" t="str">
        <x:v>PASS</x:v>
      </x:c>
      <x:c r="O140" s="62" t="str">
        <x:v>需核对规格、税费、安装和售后边界</x:v>
      </x:c>
      <x:c r="P140" s="63" t="n">
        <x:f>IF(N140="PASS",H140*'02_假设与情景'!$H$6+I140*'02_假设与情景'!$H$7+J140*'02_假设与情景'!$H$8+K140*'02_假设与情景'!$H$9+L140*'02_假设与情景'!$H$10+M140*'02_假设与情景'!$H$11,0)</x:f>
        <x:v>8.342372881355931</x:v>
      </x:c>
      <x:c r="Q140" s="64" t="str">
        <x:f>IF(N140&lt;&gt;"PASS","不推荐-需再验证",IF(P140&gt;=8,"优先候选",IF(P140&gt;=7,"可询价","备选")))</x:f>
        <x:v>优先候选</x:v>
      </x:c>
      <x:c r="R140" s="12" t="str">
        <x:v>SRC-012</x:v>
      </x:c>
      <x:c r="S140" s="12" t="str">
        <x:v>进入同规格询价和总拥有成本比较</x:v>
      </x:c>
    </x:row>
    <x:row r="141">
      <x:c r="A141" t="str">
        <x:v>ALT-136</x:v>
      </x:c>
      <x:c r="B141" t="str">
        <x:v>OPEX-015</x:v>
      </x:c>
      <x:c r="C141" t="str">
        <x:v>发电机测试、柴油和应急演练</x:v>
      </x:c>
      <x:c r="D141" t="str">
        <x:v>成本优选：同规格国产合规供应商双询价</x:v>
      </x:c>
      <x:c r="E141" t="str">
        <x:v>国产/本地供应链</x:v>
      </x:c>
      <x:c r="F141" s="51" t="n">
        <x:v>30000</x:v>
      </x:c>
      <x:c r="G141" s="51" t="n">
        <x:v>25500</x:v>
      </x:c>
      <x:c r="H141" s="60" t="n">
        <x:f>IF(G141=0,0,MIN(10,10*F141/G141))</x:f>
        <x:v>10</x:v>
      </x:c>
      <x:c r="I141" s="53" t="n">
        <x:v>7</x:v>
      </x:c>
      <x:c r="J141" s="53" t="n">
        <x:v>8</x:v>
      </x:c>
      <x:c r="K141" s="53" t="n">
        <x:v>8</x:v>
      </x:c>
      <x:c r="L141" s="53" t="n">
        <x:v>6</x:v>
      </x:c>
      <x:c r="M141" s="53" t="n">
        <x:v>3</x:v>
      </x:c>
      <x:c r="N141" s="53" t="str">
        <x:v>PASS</x:v>
      </x:c>
      <x:c r="O141" s="62" t="str">
        <x:v>需核对规格、税费、安装和售后边界</x:v>
      </x:c>
      <x:c r="P141" s="63" t="n">
        <x:f>IF(N141="PASS",H141*'02_假设与情景'!$H$6+I141*'02_假设与情景'!$H$7+J141*'02_假设与情景'!$H$8+K141*'02_假设与情景'!$H$9+L141*'02_假设与情景'!$H$10+M141*'02_假设与情景'!$H$11,0)</x:f>
        <x:v>7.6499999999999995</x:v>
      </x:c>
      <x:c r="Q141" s="64" t="str">
        <x:f>IF(N141&lt;&gt;"PASS","不推荐-需再验证",IF(P141&gt;=8,"优先候选",IF(P141&gt;=7,"可询价","备选")))</x:f>
        <x:v>可询价</x:v>
      </x:c>
      <x:c r="R141" s="12" t="str">
        <x:v>SRC-027</x:v>
      </x:c>
      <x:c r="S141" s="12" t="str">
        <x:v>进入同规格询价和总拥有成本比较</x:v>
      </x:c>
    </x:row>
    <x:row r="142">
      <x:c r="A142" t="str">
        <x:v>ALT-137</x:v>
      </x:c>
      <x:c r="B142" t="str">
        <x:v>OPEX-015</x:v>
      </x:c>
      <x:c r="C142" t="str">
        <x:v>发电机测试、柴油和应急演练</x:v>
      </x:c>
      <x:c r="D142" t="str">
        <x:v>品质优选：头部品牌全服务包</x:v>
      </x:c>
      <x:c r="E142" t="str">
        <x:v>头部品牌/专业服务商</x:v>
      </x:c>
      <x:c r="F142" s="51" t="n">
        <x:v>30000</x:v>
      </x:c>
      <x:c r="G142" s="51" t="n">
        <x:v>35400</x:v>
      </x:c>
      <x:c r="H142" s="60" t="n">
        <x:f>IF(G142=0,0,MIN(10,10*F142/G142))</x:f>
        <x:v>8.474576271186441</x:v>
      </x:c>
      <x:c r="I142" s="53" t="n">
        <x:v>9</x:v>
      </x:c>
      <x:c r="J142" s="53" t="n">
        <x:v>9</x:v>
      </x:c>
      <x:c r="K142" s="53" t="n">
        <x:v>7</x:v>
      </x:c>
      <x:c r="L142" s="53" t="n">
        <x:v>9</x:v>
      </x:c>
      <x:c r="M142" s="53" t="n">
        <x:v>3</x:v>
      </x:c>
      <x:c r="N142" s="53" t="str">
        <x:v>PASS</x:v>
      </x:c>
      <x:c r="O142" s="62" t="str">
        <x:v>需核对规格、税费、安装和售后边界</x:v>
      </x:c>
      <x:c r="P142" s="63" t="n">
        <x:f>IF(N142="PASS",H142*'02_假设与情景'!$H$6+I142*'02_假设与情景'!$H$7+J142*'02_假设与情景'!$H$8+K142*'02_假设与情景'!$H$9+L142*'02_假设与情景'!$H$10+M142*'02_假设与情景'!$H$11,0)</x:f>
        <x:v>8.042372881355933</x:v>
      </x:c>
      <x:c r="Q142" s="64" t="str">
        <x:f>IF(N142&lt;&gt;"PASS","不推荐-需再验证",IF(P142&gt;=8,"优先候选",IF(P142&gt;=7,"可询价","备选")))</x:f>
        <x:v>优先候选</x:v>
      </x:c>
      <x:c r="R142" s="12" t="str">
        <x:v>SRC-027</x:v>
      </x:c>
      <x:c r="S142" s="12" t="str">
        <x:v>进入同规格询价和总拥有成本比较</x:v>
      </x:c>
    </x:row>
    <x:row r="143">
      <x:c r="A143" t="str">
        <x:v>ALT-138</x:v>
      </x:c>
      <x:c r="B143" t="str">
        <x:v>OPEX-016</x:v>
      </x:c>
      <x:c r="C143" t="str">
        <x:v>设备、HVAC与冷库年度维保</x:v>
      </x:c>
      <x:c r="D143" t="str">
        <x:v>成本优选：同规格国产合规供应商双询价</x:v>
      </x:c>
      <x:c r="E143" t="str">
        <x:v>国产/本地供应链</x:v>
      </x:c>
      <x:c r="F143" s="51" t="n">
        <x:v>900000</x:v>
      </x:c>
      <x:c r="G143" s="51" t="n">
        <x:v>765000</x:v>
      </x:c>
      <x:c r="H143" s="60" t="n">
        <x:f>IF(G143=0,0,MIN(10,10*F143/G143))</x:f>
        <x:v>10</x:v>
      </x:c>
      <x:c r="I143" s="53" t="n">
        <x:v>7</x:v>
      </x:c>
      <x:c r="J143" s="53" t="n">
        <x:v>8</x:v>
      </x:c>
      <x:c r="K143" s="53" t="n">
        <x:v>8</x:v>
      </x:c>
      <x:c r="L143" s="53" t="n">
        <x:v>6</x:v>
      </x:c>
      <x:c r="M143" s="53" t="n">
        <x:v>2</x:v>
      </x:c>
      <x:c r="N143" s="53" t="str">
        <x:v>PASS</x:v>
      </x:c>
      <x:c r="O143" s="62" t="str">
        <x:v>需核对规格、税费、安装和售后边界</x:v>
      </x:c>
      <x:c r="P143" s="63" t="n">
        <x:f>IF(N143="PASS",H143*'02_假设与情景'!$H$6+I143*'02_假设与情景'!$H$7+J143*'02_假设与情景'!$H$8+K143*'02_假设与情景'!$H$9+L143*'02_假设与情景'!$H$10+M143*'02_假设与情景'!$H$11,0)</x:f>
        <x:v>7.55</x:v>
      </x:c>
      <x:c r="Q143" s="64" t="str">
        <x:f>IF(N143&lt;&gt;"PASS","不推荐-需再验证",IF(P143&gt;=8,"优先候选",IF(P143&gt;=7,"可询价","备选")))</x:f>
        <x:v>可询价</x:v>
      </x:c>
      <x:c r="R143" s="12" t="str">
        <x:v>SRC-031</x:v>
      </x:c>
      <x:c r="S143" s="12" t="str">
        <x:v>进入同规格询价和总拥有成本比较</x:v>
      </x:c>
    </x:row>
    <x:row r="144">
      <x:c r="A144" t="str">
        <x:v>ALT-139</x:v>
      </x:c>
      <x:c r="B144" t="str">
        <x:v>OPEX-016</x:v>
      </x:c>
      <x:c r="C144" t="str">
        <x:v>设备、HVAC与冷库年度维保</x:v>
      </x:c>
      <x:c r="D144" t="str">
        <x:v>品质优选：头部品牌全服务包</x:v>
      </x:c>
      <x:c r="E144" t="str">
        <x:v>头部品牌/专业服务商</x:v>
      </x:c>
      <x:c r="F144" s="51" t="n">
        <x:v>900000</x:v>
      </x:c>
      <x:c r="G144" s="51" t="n">
        <x:v>1062000</x:v>
      </x:c>
      <x:c r="H144" s="60" t="n">
        <x:f>IF(G144=0,0,MIN(10,10*F144/G144))</x:f>
        <x:v>8.474576271186441</x:v>
      </x:c>
      <x:c r="I144" s="53" t="n">
        <x:v>9</x:v>
      </x:c>
      <x:c r="J144" s="53" t="n">
        <x:v>9</x:v>
      </x:c>
      <x:c r="K144" s="53" t="n">
        <x:v>7</x:v>
      </x:c>
      <x:c r="L144" s="53" t="n">
        <x:v>9</x:v>
      </x:c>
      <x:c r="M144" s="53" t="n">
        <x:v>3</x:v>
      </x:c>
      <x:c r="N144" s="53" t="str">
        <x:v>PASS</x:v>
      </x:c>
      <x:c r="O144" s="62" t="str">
        <x:v>需核对规格、税费、安装和售后边界</x:v>
      </x:c>
      <x:c r="P144" s="63" t="n">
        <x:f>IF(N144="PASS",H144*'02_假设与情景'!$H$6+I144*'02_假设与情景'!$H$7+J144*'02_假设与情景'!$H$8+K144*'02_假设与情景'!$H$9+L144*'02_假设与情景'!$H$10+M144*'02_假设与情景'!$H$11,0)</x:f>
        <x:v>8.042372881355933</x:v>
      </x:c>
      <x:c r="Q144" s="64" t="str">
        <x:f>IF(N144&lt;&gt;"PASS","不推荐-需再验证",IF(P144&gt;=8,"优先候选",IF(P144&gt;=7,"可询价","备选")))</x:f>
        <x:v>优先候选</x:v>
      </x:c>
      <x:c r="R144" s="12" t="str">
        <x:v>SRC-031</x:v>
      </x:c>
      <x:c r="S144" s="12" t="str">
        <x:v>进入同规格询价和总拥有成本比较</x:v>
      </x:c>
    </x:row>
    <x:row r="145">
      <x:c r="A145" t="str">
        <x:v>ALT-140</x:v>
      </x:c>
      <x:c r="B145" t="str">
        <x:v>OPEX-017</x:v>
      </x:c>
      <x:c r="C145" t="str">
        <x:v>仪器设备计量校准</x:v>
      </x:c>
      <x:c r="D145" t="str">
        <x:v>成本优选：同规格国产合规供应商双询价</x:v>
      </x:c>
      <x:c r="E145" t="str">
        <x:v>国产/本地供应链</x:v>
      </x:c>
      <x:c r="F145" s="51" t="n">
        <x:v>250000</x:v>
      </x:c>
      <x:c r="G145" s="51" t="n">
        <x:v>212500</x:v>
      </x:c>
      <x:c r="H145" s="60" t="n">
        <x:f>IF(G145=0,0,MIN(10,10*F145/G145))</x:f>
        <x:v>10</x:v>
      </x:c>
      <x:c r="I145" s="53" t="n">
        <x:v>7</x:v>
      </x:c>
      <x:c r="J145" s="53" t="n">
        <x:v>8</x:v>
      </x:c>
      <x:c r="K145" s="53" t="n">
        <x:v>8</x:v>
      </x:c>
      <x:c r="L145" s="53" t="n">
        <x:v>6</x:v>
      </x:c>
      <x:c r="M145" s="53" t="n">
        <x:v>2</x:v>
      </x:c>
      <x:c r="N145" s="53" t="str">
        <x:v>PASS</x:v>
      </x:c>
      <x:c r="O145" s="62" t="str">
        <x:v>需核对规格、税费、安装和售后边界</x:v>
      </x:c>
      <x:c r="P145" s="63" t="n">
        <x:f>IF(N145="PASS",H145*'02_假设与情景'!$H$6+I145*'02_假设与情景'!$H$7+J145*'02_假设与情景'!$H$8+K145*'02_假设与情景'!$H$9+L145*'02_假设与情景'!$H$10+M145*'02_假设与情景'!$H$11,0)</x:f>
        <x:v>7.55</x:v>
      </x:c>
      <x:c r="Q145" s="64" t="str">
        <x:f>IF(N145&lt;&gt;"PASS","不推荐-需再验证",IF(P145&gt;=8,"优先候选",IF(P145&gt;=7,"可询价","备选")))</x:f>
        <x:v>可询价</x:v>
      </x:c>
      <x:c r="R145" s="12" t="str">
        <x:v>SRC-031</x:v>
      </x:c>
      <x:c r="S145" s="12" t="str">
        <x:v>进入同规格询价和总拥有成本比较</x:v>
      </x:c>
    </x:row>
    <x:row r="146">
      <x:c r="A146" t="str">
        <x:v>ALT-141</x:v>
      </x:c>
      <x:c r="B146" t="str">
        <x:v>OPEX-017</x:v>
      </x:c>
      <x:c r="C146" t="str">
        <x:v>仪器设备计量校准</x:v>
      </x:c>
      <x:c r="D146" t="str">
        <x:v>品质优选：头部品牌全服务包</x:v>
      </x:c>
      <x:c r="E146" t="str">
        <x:v>头部品牌/专业服务商</x:v>
      </x:c>
      <x:c r="F146" s="51" t="n">
        <x:v>250000</x:v>
      </x:c>
      <x:c r="G146" s="51" t="n">
        <x:v>295000</x:v>
      </x:c>
      <x:c r="H146" s="60" t="n">
        <x:f>IF(G146=0,0,MIN(10,10*F146/G146))</x:f>
        <x:v>8.474576271186441</x:v>
      </x:c>
      <x:c r="I146" s="53" t="n">
        <x:v>9</x:v>
      </x:c>
      <x:c r="J146" s="53" t="n">
        <x:v>9</x:v>
      </x:c>
      <x:c r="K146" s="53" t="n">
        <x:v>7</x:v>
      </x:c>
      <x:c r="L146" s="53" t="n">
        <x:v>9</x:v>
      </x:c>
      <x:c r="M146" s="53" t="n">
        <x:v>3</x:v>
      </x:c>
      <x:c r="N146" s="53" t="str">
        <x:v>PASS</x:v>
      </x:c>
      <x:c r="O146" s="62" t="str">
        <x:v>需核对规格、税费、安装和售后边界</x:v>
      </x:c>
      <x:c r="P146" s="63" t="n">
        <x:f>IF(N146="PASS",H146*'02_假设与情景'!$H$6+I146*'02_假设与情景'!$H$7+J146*'02_假设与情景'!$H$8+K146*'02_假设与情景'!$H$9+L146*'02_假设与情景'!$H$10+M146*'02_假设与情景'!$H$11,0)</x:f>
        <x:v>8.042372881355933</x:v>
      </x:c>
      <x:c r="Q146" s="64" t="str">
        <x:f>IF(N146&lt;&gt;"PASS","不推荐-需再验证",IF(P146&gt;=8,"优先候选",IF(P146&gt;=7,"可询价","备选")))</x:f>
        <x:v>优先候选</x:v>
      </x:c>
      <x:c r="R146" s="12" t="str">
        <x:v>SRC-031</x:v>
      </x:c>
      <x:c r="S146" s="12" t="str">
        <x:v>进入同规格询价和总拥有成本比较</x:v>
      </x:c>
    </x:row>
    <x:row r="147">
      <x:c r="A147" t="str">
        <x:v>ALT-142</x:v>
      </x:c>
      <x:c r="B147" t="str">
        <x:v>OPEX-018</x:v>
      </x:c>
      <x:c r="C147" t="str">
        <x:v>洁净区环境监测与年度检测</x:v>
      </x:c>
      <x:c r="D147" t="str">
        <x:v>成本优选：同规格国产合规供应商双询价</x:v>
      </x:c>
      <x:c r="E147" t="str">
        <x:v>国产/本地供应链</x:v>
      </x:c>
      <x:c r="F147" s="51" t="n">
        <x:v>180000</x:v>
      </x:c>
      <x:c r="G147" s="51" t="n">
        <x:v>153000</x:v>
      </x:c>
      <x:c r="H147" s="60" t="n">
        <x:f>IF(G147=0,0,MIN(10,10*F147/G147))</x:f>
        <x:v>10</x:v>
      </x:c>
      <x:c r="I147" s="53" t="n">
        <x:v>7</x:v>
      </x:c>
      <x:c r="J147" s="53" t="n">
        <x:v>8</x:v>
      </x:c>
      <x:c r="K147" s="53" t="n">
        <x:v>8</x:v>
      </x:c>
      <x:c r="L147" s="53" t="n">
        <x:v>6</x:v>
      </x:c>
      <x:c r="M147" s="53" t="n">
        <x:v>2</x:v>
      </x:c>
      <x:c r="N147" s="53" t="str">
        <x:v>PASS</x:v>
      </x:c>
      <x:c r="O147" s="62" t="str">
        <x:v>需核对规格、税费、安装和售后边界</x:v>
      </x:c>
      <x:c r="P147" s="63" t="n">
        <x:f>IF(N147="PASS",H147*'02_假设与情景'!$H$6+I147*'02_假设与情景'!$H$7+J147*'02_假设与情景'!$H$8+K147*'02_假设与情景'!$H$9+L147*'02_假设与情景'!$H$10+M147*'02_假设与情景'!$H$11,0)</x:f>
        <x:v>7.55</x:v>
      </x:c>
      <x:c r="Q147" s="64" t="str">
        <x:f>IF(N147&lt;&gt;"PASS","不推荐-需再验证",IF(P147&gt;=8,"优先候选",IF(P147&gt;=7,"可询价","备选")))</x:f>
        <x:v>可询价</x:v>
      </x:c>
      <x:c r="R147" s="12" t="str">
        <x:v>SRC-031</x:v>
      </x:c>
      <x:c r="S147" s="12" t="str">
        <x:v>进入同规格询价和总拥有成本比较</x:v>
      </x:c>
    </x:row>
    <x:row r="148">
      <x:c r="A148" t="str">
        <x:v>ALT-143</x:v>
      </x:c>
      <x:c r="B148" t="str">
        <x:v>OPEX-018</x:v>
      </x:c>
      <x:c r="C148" t="str">
        <x:v>洁净区环境监测与年度检测</x:v>
      </x:c>
      <x:c r="D148" t="str">
        <x:v>品质优选：头部品牌全服务包</x:v>
      </x:c>
      <x:c r="E148" t="str">
        <x:v>头部品牌/专业服务商</x:v>
      </x:c>
      <x:c r="F148" s="51" t="n">
        <x:v>180000</x:v>
      </x:c>
      <x:c r="G148" s="51" t="n">
        <x:v>212400</x:v>
      </x:c>
      <x:c r="H148" s="60" t="n">
        <x:f>IF(G148=0,0,MIN(10,10*F148/G148))</x:f>
        <x:v>8.474576271186441</x:v>
      </x:c>
      <x:c r="I148" s="53" t="n">
        <x:v>9</x:v>
      </x:c>
      <x:c r="J148" s="53" t="n">
        <x:v>9</x:v>
      </x:c>
      <x:c r="K148" s="53" t="n">
        <x:v>7</x:v>
      </x:c>
      <x:c r="L148" s="53" t="n">
        <x:v>9</x:v>
      </x:c>
      <x:c r="M148" s="53" t="n">
        <x:v>3</x:v>
      </x:c>
      <x:c r="N148" s="53" t="str">
        <x:v>PASS</x:v>
      </x:c>
      <x:c r="O148" s="62" t="str">
        <x:v>需核对规格、税费、安装和售后边界</x:v>
      </x:c>
      <x:c r="P148" s="63" t="n">
        <x:f>IF(N148="PASS",H148*'02_假设与情景'!$H$6+I148*'02_假设与情景'!$H$7+J148*'02_假设与情景'!$H$8+K148*'02_假设与情景'!$H$9+L148*'02_假设与情景'!$H$10+M148*'02_假设与情景'!$H$11,0)</x:f>
        <x:v>8.042372881355933</x:v>
      </x:c>
      <x:c r="Q148" s="64" t="str">
        <x:f>IF(N148&lt;&gt;"PASS","不推荐-需再验证",IF(P148&gt;=8,"优先候选",IF(P148&gt;=7,"可询价","备选")))</x:f>
        <x:v>优先候选</x:v>
      </x:c>
      <x:c r="R148" s="12" t="str">
        <x:v>SRC-031</x:v>
      </x:c>
      <x:c r="S148" s="12" t="str">
        <x:v>进入同规格询价和总拥有成本比较</x:v>
      </x:c>
    </x:row>
    <x:row r="149">
      <x:c r="A149" t="str">
        <x:v>ALT-144</x:v>
      </x:c>
      <x:c r="B149" t="str">
        <x:v>OPEX-019</x:v>
      </x:c>
      <x:c r="C149" t="str">
        <x:v>质谱、测序、HPLC和核酸酶检测委外</x:v>
      </x:c>
      <x:c r="D149" t="str">
        <x:v>成本优选：同规格国产合规供应商双询价</x:v>
      </x:c>
      <x:c r="E149" t="str">
        <x:v>国产/本地供应链</x:v>
      </x:c>
      <x:c r="F149" s="51" t="n">
        <x:v>12000</x:v>
      </x:c>
      <x:c r="G149" s="51" t="n">
        <x:v>10200</x:v>
      </x:c>
      <x:c r="H149" s="60" t="n">
        <x:f>IF(G149=0,0,MIN(10,10*F149/G149))</x:f>
        <x:v>10</x:v>
      </x:c>
      <x:c r="I149" s="53" t="n">
        <x:v>7</x:v>
      </x:c>
      <x:c r="J149" s="53" t="n">
        <x:v>8</x:v>
      </x:c>
      <x:c r="K149" s="53" t="n">
        <x:v>8</x:v>
      </x:c>
      <x:c r="L149" s="53" t="n">
        <x:v>6</x:v>
      </x:c>
      <x:c r="M149" s="53" t="n">
        <x:v>3</x:v>
      </x:c>
      <x:c r="N149" s="53" t="str">
        <x:v>PASS</x:v>
      </x:c>
      <x:c r="O149" s="62" t="str">
        <x:v>需核对规格、税费、安装和售后边界</x:v>
      </x:c>
      <x:c r="P149" s="63" t="n">
        <x:f>IF(N149="PASS",H149*'02_假设与情景'!$H$6+I149*'02_假设与情景'!$H$7+J149*'02_假设与情景'!$H$8+K149*'02_假设与情景'!$H$9+L149*'02_假设与情景'!$H$10+M149*'02_假设与情景'!$H$11,0)</x:f>
        <x:v>7.6499999999999995</x:v>
      </x:c>
      <x:c r="Q149" s="64" t="str">
        <x:f>IF(N149&lt;&gt;"PASS","不推荐-需再验证",IF(P149&gt;=8,"优先候选",IF(P149&gt;=7,"可询价","备选")))</x:f>
        <x:v>可询价</x:v>
      </x:c>
      <x:c r="R149" s="12" t="str">
        <x:v>SRC-006, SRC-031</x:v>
      </x:c>
      <x:c r="S149" s="12" t="str">
        <x:v>进入同规格询价和总拥有成本比较</x:v>
      </x:c>
    </x:row>
    <x:row r="150">
      <x:c r="A150" t="str">
        <x:v>ALT-145</x:v>
      </x:c>
      <x:c r="B150" t="str">
        <x:v>OPEX-019</x:v>
      </x:c>
      <x:c r="C150" t="str">
        <x:v>质谱、测序、HPLC和核酸酶检测委外</x:v>
      </x:c>
      <x:c r="D150" t="str">
        <x:v>品质优选：头部品牌全服务包</x:v>
      </x:c>
      <x:c r="E150" t="str">
        <x:v>头部品牌/专业服务商</x:v>
      </x:c>
      <x:c r="F150" s="51" t="n">
        <x:v>12000</x:v>
      </x:c>
      <x:c r="G150" s="51" t="n">
        <x:v>14160</x:v>
      </x:c>
      <x:c r="H150" s="60" t="n">
        <x:f>IF(G150=0,0,MIN(10,10*F150/G150))</x:f>
        <x:v>8.474576271186441</x:v>
      </x:c>
      <x:c r="I150" s="53" t="n">
        <x:v>9</x:v>
      </x:c>
      <x:c r="J150" s="53" t="n">
        <x:v>9</x:v>
      </x:c>
      <x:c r="K150" s="53" t="n">
        <x:v>7</x:v>
      </x:c>
      <x:c r="L150" s="53" t="n">
        <x:v>9</x:v>
      </x:c>
      <x:c r="M150" s="53" t="n">
        <x:v>3</x:v>
      </x:c>
      <x:c r="N150" s="53" t="str">
        <x:v>PASS</x:v>
      </x:c>
      <x:c r="O150" s="62" t="str">
        <x:v>需核对规格、税费、安装和售后边界</x:v>
      </x:c>
      <x:c r="P150" s="63" t="n">
        <x:f>IF(N150="PASS",H150*'02_假设与情景'!$H$6+I150*'02_假设与情景'!$H$7+J150*'02_假设与情景'!$H$8+K150*'02_假设与情景'!$H$9+L150*'02_假设与情景'!$H$10+M150*'02_假设与情景'!$H$11,0)</x:f>
        <x:v>8.042372881355933</x:v>
      </x:c>
      <x:c r="Q150" s="64" t="str">
        <x:f>IF(N150&lt;&gt;"PASS","不推荐-需再验证",IF(P150&gt;=8,"优先候选",IF(P150&gt;=7,"可询价","备选")))</x:f>
        <x:v>优先候选</x:v>
      </x:c>
      <x:c r="R150" s="12" t="str">
        <x:v>SRC-006, SRC-031</x:v>
      </x:c>
      <x:c r="S150" s="12" t="str">
        <x:v>进入同规格询价和总拥有成本比较</x:v>
      </x:c>
    </x:row>
    <x:row r="151">
      <x:c r="A151" t="str">
        <x:v>ALT-146</x:v>
      </x:c>
      <x:c r="B151" t="str">
        <x:v>OPEX-020</x:v>
      </x:c>
      <x:c r="C151" t="str">
        <x:v>性能、微生物或专项检测委外</x:v>
      </x:c>
      <x:c r="D151" t="str">
        <x:v>成本优选：同规格国产合规供应商双询价</x:v>
      </x:c>
      <x:c r="E151" t="str">
        <x:v>国产/本地供应链</x:v>
      </x:c>
      <x:c r="F151" s="51" t="n">
        <x:v>15000</x:v>
      </x:c>
      <x:c r="G151" s="51" t="n">
        <x:v>12750</x:v>
      </x:c>
      <x:c r="H151" s="60" t="n">
        <x:f>IF(G151=0,0,MIN(10,10*F151/G151))</x:f>
        <x:v>10</x:v>
      </x:c>
      <x:c r="I151" s="53" t="n">
        <x:v>7</x:v>
      </x:c>
      <x:c r="J151" s="53" t="n">
        <x:v>8</x:v>
      </x:c>
      <x:c r="K151" s="53" t="n">
        <x:v>8</x:v>
      </x:c>
      <x:c r="L151" s="53" t="n">
        <x:v>6</x:v>
      </x:c>
      <x:c r="M151" s="53" t="n">
        <x:v>3</x:v>
      </x:c>
      <x:c r="N151" s="53" t="str">
        <x:v>PASS</x:v>
      </x:c>
      <x:c r="O151" s="62" t="str">
        <x:v>需核对规格、税费、安装和售后边界</x:v>
      </x:c>
      <x:c r="P151" s="63" t="n">
        <x:f>IF(N151="PASS",H151*'02_假设与情景'!$H$6+I151*'02_假设与情景'!$H$7+J151*'02_假设与情景'!$H$8+K151*'02_假设与情景'!$H$9+L151*'02_假设与情景'!$H$10+M151*'02_假设与情景'!$H$11,0)</x:f>
        <x:v>7.6499999999999995</x:v>
      </x:c>
      <x:c r="Q151" s="64" t="str">
        <x:f>IF(N151&lt;&gt;"PASS","不推荐-需再验证",IF(P151&gt;=8,"优先候选",IF(P151&gt;=7,"可询价","备选")))</x:f>
        <x:v>可询价</x:v>
      </x:c>
      <x:c r="R151" s="12" t="str">
        <x:v>SRC-006, SRC-031</x:v>
      </x:c>
      <x:c r="S151" s="12" t="str">
        <x:v>进入同规格询价和总拥有成本比较</x:v>
      </x:c>
    </x:row>
    <x:row r="152">
      <x:c r="A152" t="str">
        <x:v>ALT-147</x:v>
      </x:c>
      <x:c r="B152" t="str">
        <x:v>OPEX-020</x:v>
      </x:c>
      <x:c r="C152" t="str">
        <x:v>性能、微生物或专项检测委外</x:v>
      </x:c>
      <x:c r="D152" t="str">
        <x:v>品质优选：头部品牌全服务包</x:v>
      </x:c>
      <x:c r="E152" t="str">
        <x:v>头部品牌/专业服务商</x:v>
      </x:c>
      <x:c r="F152" s="51" t="n">
        <x:v>15000</x:v>
      </x:c>
      <x:c r="G152" s="51" t="n">
        <x:v>17700</x:v>
      </x:c>
      <x:c r="H152" s="60" t="n">
        <x:f>IF(G152=0,0,MIN(10,10*F152/G152))</x:f>
        <x:v>8.474576271186441</x:v>
      </x:c>
      <x:c r="I152" s="53" t="n">
        <x:v>9</x:v>
      </x:c>
      <x:c r="J152" s="53" t="n">
        <x:v>9</x:v>
      </x:c>
      <x:c r="K152" s="53" t="n">
        <x:v>7</x:v>
      </x:c>
      <x:c r="L152" s="53" t="n">
        <x:v>9</x:v>
      </x:c>
      <x:c r="M152" s="53" t="n">
        <x:v>3</x:v>
      </x:c>
      <x:c r="N152" s="53" t="str">
        <x:v>PASS</x:v>
      </x:c>
      <x:c r="O152" s="62" t="str">
        <x:v>需核对规格、税费、安装和售后边界</x:v>
      </x:c>
      <x:c r="P152" s="63" t="n">
        <x:f>IF(N152="PASS",H152*'02_假设与情景'!$H$6+I152*'02_假设与情景'!$H$7+J152*'02_假设与情景'!$H$8+K152*'02_假设与情景'!$H$9+L152*'02_假设与情景'!$H$10+M152*'02_假设与情景'!$H$11,0)</x:f>
        <x:v>8.042372881355933</x:v>
      </x:c>
      <x:c r="Q152" s="64" t="str">
        <x:f>IF(N152&lt;&gt;"PASS","不推荐-需再验证",IF(P152&gt;=8,"优先候选",IF(P152&gt;=7,"可询价","备选")))</x:f>
        <x:v>优先候选</x:v>
      </x:c>
      <x:c r="R152" s="12" t="str">
        <x:v>SRC-006, SRC-031</x:v>
      </x:c>
      <x:c r="S152" s="12" t="str">
        <x:v>进入同规格询价和总拥有成本比较</x:v>
      </x:c>
    </x:row>
    <x:row r="153">
      <x:c r="A153" t="str">
        <x:v>ALT-148</x:v>
      </x:c>
      <x:c r="B153" t="str">
        <x:v>OPEX-021</x:v>
      </x:c>
      <x:c r="C153" t="str">
        <x:v>生化、质粒和清洁危废合规处置</x:v>
      </x:c>
      <x:c r="D153" t="str">
        <x:v>成本优选：同规格国产合规供应商双询价</x:v>
      </x:c>
      <x:c r="E153" t="str">
        <x:v>国产/本地供应链</x:v>
      </x:c>
      <x:c r="F153" s="51" t="n">
        <x:v>100000</x:v>
      </x:c>
      <x:c r="G153" s="51" t="n">
        <x:v>85000</x:v>
      </x:c>
      <x:c r="H153" s="60" t="n">
        <x:f>IF(G153=0,0,MIN(10,10*F153/G153))</x:f>
        <x:v>10</x:v>
      </x:c>
      <x:c r="I153" s="53" t="n">
        <x:v>7</x:v>
      </x:c>
      <x:c r="J153" s="53" t="n">
        <x:v>8</x:v>
      </x:c>
      <x:c r="K153" s="53" t="n">
        <x:v>8</x:v>
      </x:c>
      <x:c r="L153" s="53" t="n">
        <x:v>6</x:v>
      </x:c>
      <x:c r="M153" s="53" t="n">
        <x:v>2</x:v>
      </x:c>
      <x:c r="N153" s="53" t="str">
        <x:v>PASS</x:v>
      </x:c>
      <x:c r="O153" s="62" t="str">
        <x:v>需核对规格、税费、安装和售后边界</x:v>
      </x:c>
      <x:c r="P153" s="63" t="n">
        <x:f>IF(N153="PASS",H153*'02_假设与情景'!$H$6+I153*'02_假设与情景'!$H$7+J153*'02_假设与情景'!$H$8+K153*'02_假设与情景'!$H$9+L153*'02_假设与情景'!$H$10+M153*'02_假设与情景'!$H$11,0)</x:f>
        <x:v>7.55</x:v>
      </x:c>
      <x:c r="Q153" s="64" t="str">
        <x:f>IF(N153&lt;&gt;"PASS","不推荐-需再验证",IF(P153&gt;=8,"优先候选",IF(P153&gt;=7,"可询价","备选")))</x:f>
        <x:v>可询价</x:v>
      </x:c>
      <x:c r="R153" s="12" t="str">
        <x:v>SRC-031</x:v>
      </x:c>
      <x:c r="S153" s="12" t="str">
        <x:v>进入同规格询价和总拥有成本比较</x:v>
      </x:c>
    </x:row>
    <x:row r="154">
      <x:c r="A154" t="str">
        <x:v>ALT-149</x:v>
      </x:c>
      <x:c r="B154" t="str">
        <x:v>OPEX-021</x:v>
      </x:c>
      <x:c r="C154" t="str">
        <x:v>生化、质粒和清洁危废合规处置</x:v>
      </x:c>
      <x:c r="D154" t="str">
        <x:v>品质优选：头部品牌全服务包</x:v>
      </x:c>
      <x:c r="E154" t="str">
        <x:v>头部品牌/专业服务商</x:v>
      </x:c>
      <x:c r="F154" s="51" t="n">
        <x:v>100000</x:v>
      </x:c>
      <x:c r="G154" s="51" t="n">
        <x:v>118000</x:v>
      </x:c>
      <x:c r="H154" s="60" t="n">
        <x:f>IF(G154=0,0,MIN(10,10*F154/G154))</x:f>
        <x:v>8.474576271186441</x:v>
      </x:c>
      <x:c r="I154" s="53" t="n">
        <x:v>9</x:v>
      </x:c>
      <x:c r="J154" s="53" t="n">
        <x:v>9</x:v>
      </x:c>
      <x:c r="K154" s="53" t="n">
        <x:v>7</x:v>
      </x:c>
      <x:c r="L154" s="53" t="n">
        <x:v>9</x:v>
      </x:c>
      <x:c r="M154" s="53" t="n">
        <x:v>3</x:v>
      </x:c>
      <x:c r="N154" s="53" t="str">
        <x:v>PASS</x:v>
      </x:c>
      <x:c r="O154" s="62" t="str">
        <x:v>需核对规格、税费、安装和售后边界</x:v>
      </x:c>
      <x:c r="P154" s="63" t="n">
        <x:f>IF(N154="PASS",H154*'02_假设与情景'!$H$6+I154*'02_假设与情景'!$H$7+J154*'02_假设与情景'!$H$8+K154*'02_假设与情景'!$H$9+L154*'02_假设与情景'!$H$10+M154*'02_假设与情景'!$H$11,0)</x:f>
        <x:v>8.042372881355933</x:v>
      </x:c>
      <x:c r="Q154" s="64" t="str">
        <x:f>IF(N154&lt;&gt;"PASS","不推荐-需再验证",IF(P154&gt;=8,"优先候选",IF(P154&gt;=7,"可询价","备选")))</x:f>
        <x:v>优先候选</x:v>
      </x:c>
      <x:c r="R154" s="12" t="str">
        <x:v>SRC-031</x:v>
      </x:c>
      <x:c r="S154" s="12" t="str">
        <x:v>进入同规格询价和总拥有成本比较</x:v>
      </x:c>
    </x:row>
    <x:row r="155">
      <x:c r="A155" t="str">
        <x:v>ALT-150</x:v>
      </x:c>
      <x:c r="B155" t="str">
        <x:v>OPEX-022</x:v>
      </x:c>
      <x:c r="C155" t="str">
        <x:v>原料入厂和成品出库冷链物流</x:v>
      </x:c>
      <x:c r="D155" t="str">
        <x:v>成本优选：同规格国产合规供应商双询价</x:v>
      </x:c>
      <x:c r="E155" t="str">
        <x:v>国产/本地供应链</x:v>
      </x:c>
      <x:c r="F155" s="51" t="n">
        <x:v>3.5</x:v>
      </x:c>
      <x:c r="G155" s="51" t="n">
        <x:v>2.975</x:v>
      </x:c>
      <x:c r="H155" s="60" t="n">
        <x:f>IF(G155=0,0,MIN(10,10*F155/G155))</x:f>
        <x:v>10</x:v>
      </x:c>
      <x:c r="I155" s="53" t="n">
        <x:v>7</x:v>
      </x:c>
      <x:c r="J155" s="53" t="n">
        <x:v>8</x:v>
      </x:c>
      <x:c r="K155" s="53" t="n">
        <x:v>8</x:v>
      </x:c>
      <x:c r="L155" s="53" t="n">
        <x:v>6</x:v>
      </x:c>
      <x:c r="M155" s="53" t="n">
        <x:v>3</x:v>
      </x:c>
      <x:c r="N155" s="53" t="str">
        <x:v>PASS</x:v>
      </x:c>
      <x:c r="O155" s="62" t="str">
        <x:v>需核对规格、税费、安装和售后边界</x:v>
      </x:c>
      <x:c r="P155" s="63" t="n">
        <x:f>IF(N155="PASS",H155*'02_假设与情景'!$H$6+I155*'02_假设与情景'!$H$7+J155*'02_假设与情景'!$H$8+K155*'02_假设与情景'!$H$9+L155*'02_假设与情景'!$H$10+M155*'02_假设与情景'!$H$11,0)</x:f>
        <x:v>7.6499999999999995</x:v>
      </x:c>
      <x:c r="Q155" s="64" t="str">
        <x:f>IF(N155&lt;&gt;"PASS","不推荐-需再验证",IF(P155&gt;=8,"优先候选",IF(P155&gt;=7,"可询价","备选")))</x:f>
        <x:v>可询价</x:v>
      </x:c>
      <x:c r="R155" s="12" t="str">
        <x:v>SRC-028</x:v>
      </x:c>
      <x:c r="S155" s="12" t="str">
        <x:v>进入同规格询价和总拥有成本比较</x:v>
      </x:c>
    </x:row>
    <x:row r="156">
      <x:c r="A156" t="str">
        <x:v>ALT-151</x:v>
      </x:c>
      <x:c r="B156" t="str">
        <x:v>OPEX-022</x:v>
      </x:c>
      <x:c r="C156" t="str">
        <x:v>原料入厂和成品出库冷链物流</x:v>
      </x:c>
      <x:c r="D156" t="str">
        <x:v>品质优选：头部品牌全服务包</x:v>
      </x:c>
      <x:c r="E156" t="str">
        <x:v>头部品牌/专业服务商</x:v>
      </x:c>
      <x:c r="F156" s="51" t="n">
        <x:v>3.5</x:v>
      </x:c>
      <x:c r="G156" s="51" t="n">
        <x:v>4.13</x:v>
      </x:c>
      <x:c r="H156" s="60" t="n">
        <x:f>IF(G156=0,0,MIN(10,10*F156/G156))</x:f>
        <x:v>8.474576271186441</x:v>
      </x:c>
      <x:c r="I156" s="53" t="n">
        <x:v>9</x:v>
      </x:c>
      <x:c r="J156" s="53" t="n">
        <x:v>9</x:v>
      </x:c>
      <x:c r="K156" s="53" t="n">
        <x:v>7</x:v>
      </x:c>
      <x:c r="L156" s="53" t="n">
        <x:v>9</x:v>
      </x:c>
      <x:c r="M156" s="53" t="n">
        <x:v>3</x:v>
      </x:c>
      <x:c r="N156" s="53" t="str">
        <x:v>PASS</x:v>
      </x:c>
      <x:c r="O156" s="62" t="str">
        <x:v>需核对规格、税费、安装和售后边界</x:v>
      </x:c>
      <x:c r="P156" s="63" t="n">
        <x:f>IF(N156="PASS",H156*'02_假设与情景'!$H$6+I156*'02_假设与情景'!$H$7+J156*'02_假设与情景'!$H$8+K156*'02_假设与情景'!$H$9+L156*'02_假设与情景'!$H$10+M156*'02_假设与情景'!$H$11,0)</x:f>
        <x:v>8.042372881355933</x:v>
      </x:c>
      <x:c r="Q156" s="64" t="str">
        <x:f>IF(N156&lt;&gt;"PASS","不推荐-需再验证",IF(P156&gt;=8,"优先候选",IF(P156&gt;=7,"可询价","备选")))</x:f>
        <x:v>优先候选</x:v>
      </x:c>
      <x:c r="R156" s="12" t="str">
        <x:v>SRC-028</x:v>
      </x:c>
      <x:c r="S156" s="12" t="str">
        <x:v>进入同规格询价和总拥有成本比较</x:v>
      </x:c>
    </x:row>
    <x:row r="157">
      <x:c r="A157" t="str">
        <x:v>ALT-152</x:v>
      </x:c>
      <x:c r="B157" t="str">
        <x:v>OPEX-023</x:v>
      </x:c>
      <x:c r="C157" t="str">
        <x:v>MES/LIMS/备份/安全年度服务</x:v>
      </x:c>
      <x:c r="D157" t="str">
        <x:v>成本优选：同规格国产合规供应商双询价</x:v>
      </x:c>
      <x:c r="E157" t="str">
        <x:v>国产/本地供应链</x:v>
      </x:c>
      <x:c r="F157" s="51" t="n">
        <x:v>180000</x:v>
      </x:c>
      <x:c r="G157" s="51" t="n">
        <x:v>153000</x:v>
      </x:c>
      <x:c r="H157" s="60" t="n">
        <x:f>IF(G157=0,0,MIN(10,10*F157/G157))</x:f>
        <x:v>10</x:v>
      </x:c>
      <x:c r="I157" s="53" t="n">
        <x:v>7</x:v>
      </x:c>
      <x:c r="J157" s="53" t="n">
        <x:v>8</x:v>
      </x:c>
      <x:c r="K157" s="53" t="n">
        <x:v>8</x:v>
      </x:c>
      <x:c r="L157" s="53" t="n">
        <x:v>6</x:v>
      </x:c>
      <x:c r="M157" s="53" t="n">
        <x:v>2</x:v>
      </x:c>
      <x:c r="N157" s="53" t="str">
        <x:v>PASS</x:v>
      </x:c>
      <x:c r="O157" s="62" t="str">
        <x:v>需核对规格、税费、安装和售后边界</x:v>
      </x:c>
      <x:c r="P157" s="63" t="n">
        <x:f>IF(N157="PASS",H157*'02_假设与情景'!$H$6+I157*'02_假设与情景'!$H$7+J157*'02_假设与情景'!$H$8+K157*'02_假设与情景'!$H$9+L157*'02_假设与情景'!$H$10+M157*'02_假设与情景'!$H$11,0)</x:f>
        <x:v>7.55</x:v>
      </x:c>
      <x:c r="Q157" s="64" t="str">
        <x:f>IF(N157&lt;&gt;"PASS","不推荐-需再验证",IF(P157&gt;=8,"优先候选",IF(P157&gt;=7,"可询价","备选")))</x:f>
        <x:v>可询价</x:v>
      </x:c>
      <x:c r="R157" s="12" t="str">
        <x:v>SRC-031</x:v>
      </x:c>
      <x:c r="S157" s="12" t="str">
        <x:v>进入同规格询价和总拥有成本比较</x:v>
      </x:c>
    </x:row>
    <x:row r="158">
      <x:c r="A158" t="str">
        <x:v>ALT-153</x:v>
      </x:c>
      <x:c r="B158" t="str">
        <x:v>OPEX-023</x:v>
      </x:c>
      <x:c r="C158" t="str">
        <x:v>MES/LIMS/备份/安全年度服务</x:v>
      </x:c>
      <x:c r="D158" t="str">
        <x:v>品质优选：头部品牌全服务包</x:v>
      </x:c>
      <x:c r="E158" t="str">
        <x:v>头部品牌/专业服务商</x:v>
      </x:c>
      <x:c r="F158" s="51" t="n">
        <x:v>180000</x:v>
      </x:c>
      <x:c r="G158" s="51" t="n">
        <x:v>212400</x:v>
      </x:c>
      <x:c r="H158" s="60" t="n">
        <x:f>IF(G158=0,0,MIN(10,10*F158/G158))</x:f>
        <x:v>8.474576271186441</x:v>
      </x:c>
      <x:c r="I158" s="53" t="n">
        <x:v>9</x:v>
      </x:c>
      <x:c r="J158" s="53" t="n">
        <x:v>9</x:v>
      </x:c>
      <x:c r="K158" s="53" t="n">
        <x:v>7</x:v>
      </x:c>
      <x:c r="L158" s="53" t="n">
        <x:v>9</x:v>
      </x:c>
      <x:c r="M158" s="53" t="n">
        <x:v>3</x:v>
      </x:c>
      <x:c r="N158" s="53" t="str">
        <x:v>PASS</x:v>
      </x:c>
      <x:c r="O158" s="62" t="str">
        <x:v>需核对规格、税费、安装和售后边界</x:v>
      </x:c>
      <x:c r="P158" s="63" t="n">
        <x:f>IF(N158="PASS",H158*'02_假设与情景'!$H$6+I158*'02_假设与情景'!$H$7+J158*'02_假设与情景'!$H$8+K158*'02_假设与情景'!$H$9+L158*'02_假设与情景'!$H$10+M158*'02_假设与情景'!$H$11,0)</x:f>
        <x:v>8.042372881355933</x:v>
      </x:c>
      <x:c r="Q158" s="64" t="str">
        <x:f>IF(N158&lt;&gt;"PASS","不推荐-需再验证",IF(P158&gt;=8,"优先候选",IF(P158&gt;=7,"可询价","备选")))</x:f>
        <x:v>优先候选</x:v>
      </x:c>
      <x:c r="R158" s="12" t="str">
        <x:v>SRC-031</x:v>
      </x:c>
      <x:c r="S158" s="12" t="str">
        <x:v>进入同规格询价和总拥有成本比较</x:v>
      </x:c>
    </x:row>
    <x:row r="159">
      <x:c r="A159" t="str">
        <x:v>ALT-154</x:v>
      </x:c>
      <x:c r="B159" t="str">
        <x:v>OPEX-024</x:v>
      </x:c>
      <x:c r="C159" t="str">
        <x:v>质量体系、供应商和客户审计</x:v>
      </x:c>
      <x:c r="D159" t="str">
        <x:v>成本优选：同规格国产合规供应商双询价</x:v>
      </x:c>
      <x:c r="E159" t="str">
        <x:v>国产/本地供应链</x:v>
      </x:c>
      <x:c r="F159" s="51" t="n">
        <x:v>150000</x:v>
      </x:c>
      <x:c r="G159" s="51" t="n">
        <x:v>127500</x:v>
      </x:c>
      <x:c r="H159" s="60" t="n">
        <x:f>IF(G159=0,0,MIN(10,10*F159/G159))</x:f>
        <x:v>10</x:v>
      </x:c>
      <x:c r="I159" s="53" t="n">
        <x:v>7</x:v>
      </x:c>
      <x:c r="J159" s="53" t="n">
        <x:v>8</x:v>
      </x:c>
      <x:c r="K159" s="53" t="n">
        <x:v>8</x:v>
      </x:c>
      <x:c r="L159" s="53" t="n">
        <x:v>6</x:v>
      </x:c>
      <x:c r="M159" s="53" t="n">
        <x:v>2</x:v>
      </x:c>
      <x:c r="N159" s="53" t="str">
        <x:v>PASS</x:v>
      </x:c>
      <x:c r="O159" s="62" t="str">
        <x:v>需核对规格、税费、安装和售后边界</x:v>
      </x:c>
      <x:c r="P159" s="63" t="n">
        <x:f>IF(N159="PASS",H159*'02_假设与情景'!$H$6+I159*'02_假设与情景'!$H$7+J159*'02_假设与情景'!$H$8+K159*'02_假设与情景'!$H$9+L159*'02_假设与情景'!$H$10+M159*'02_假设与情景'!$H$11,0)</x:f>
        <x:v>7.55</x:v>
      </x:c>
      <x:c r="Q159" s="64" t="str">
        <x:f>IF(N159&lt;&gt;"PASS","不推荐-需再验证",IF(P159&gt;=8,"优先候选",IF(P159&gt;=7,"可询价","备选")))</x:f>
        <x:v>可询价</x:v>
      </x:c>
      <x:c r="R159" s="12" t="str">
        <x:v>SRC-031</x:v>
      </x:c>
      <x:c r="S159" s="12" t="str">
        <x:v>进入同规格询价和总拥有成本比较</x:v>
      </x:c>
    </x:row>
    <x:row r="160">
      <x:c r="A160" t="str">
        <x:v>ALT-155</x:v>
      </x:c>
      <x:c r="B160" t="str">
        <x:v>OPEX-024</x:v>
      </x:c>
      <x:c r="C160" t="str">
        <x:v>质量体系、供应商和客户审计</x:v>
      </x:c>
      <x:c r="D160" t="str">
        <x:v>品质优选：头部品牌全服务包</x:v>
      </x:c>
      <x:c r="E160" t="str">
        <x:v>头部品牌/专业服务商</x:v>
      </x:c>
      <x:c r="F160" s="51" t="n">
        <x:v>150000</x:v>
      </x:c>
      <x:c r="G160" s="51" t="n">
        <x:v>177000</x:v>
      </x:c>
      <x:c r="H160" s="60" t="n">
        <x:f>IF(G160=0,0,MIN(10,10*F160/G160))</x:f>
        <x:v>8.474576271186441</x:v>
      </x:c>
      <x:c r="I160" s="53" t="n">
        <x:v>9</x:v>
      </x:c>
      <x:c r="J160" s="53" t="n">
        <x:v>9</x:v>
      </x:c>
      <x:c r="K160" s="53" t="n">
        <x:v>7</x:v>
      </x:c>
      <x:c r="L160" s="53" t="n">
        <x:v>9</x:v>
      </x:c>
      <x:c r="M160" s="53" t="n">
        <x:v>3</x:v>
      </x:c>
      <x:c r="N160" s="53" t="str">
        <x:v>PASS</x:v>
      </x:c>
      <x:c r="O160" s="62" t="str">
        <x:v>需核对规格、税费、安装和售后边界</x:v>
      </x:c>
      <x:c r="P160" s="63" t="n">
        <x:f>IF(N160="PASS",H160*'02_假设与情景'!$H$6+I160*'02_假设与情景'!$H$7+J160*'02_假设与情景'!$H$8+K160*'02_假设与情景'!$H$9+L160*'02_假设与情景'!$H$10+M160*'02_假设与情景'!$H$11,0)</x:f>
        <x:v>8.042372881355933</x:v>
      </x:c>
      <x:c r="Q160" s="64" t="str">
        <x:f>IF(N160&lt;&gt;"PASS","不推荐-需再验证",IF(P160&gt;=8,"优先候选",IF(P160&gt;=7,"可询价","备选")))</x:f>
        <x:v>优先候选</x:v>
      </x:c>
      <x:c r="R160" s="12" t="str">
        <x:v>SRC-031</x:v>
      </x:c>
      <x:c r="S160" s="12" t="str">
        <x:v>进入同规格询价和总拥有成本比较</x:v>
      </x:c>
    </x:row>
    <x:row r="161">
      <x:c r="A161" t="str">
        <x:v>ALT-156</x:v>
      </x:c>
      <x:c r="B161" t="str">
        <x:v>OPEX-025</x:v>
      </x:c>
      <x:c r="C161" t="str">
        <x:v>GMP、EHS、岗位和设备培训</x:v>
      </x:c>
      <x:c r="D161" t="str">
        <x:v>成本优选：同规格国产合规供应商双询价</x:v>
      </x:c>
      <x:c r="E161" t="str">
        <x:v>国产/本地供应链</x:v>
      </x:c>
      <x:c r="F161" s="51" t="n">
        <x:v>3000</x:v>
      </x:c>
      <x:c r="G161" s="51" t="n">
        <x:v>2550</x:v>
      </x:c>
      <x:c r="H161" s="60" t="n">
        <x:f>IF(G161=0,0,MIN(10,10*F161/G161))</x:f>
        <x:v>10</x:v>
      </x:c>
      <x:c r="I161" s="53" t="n">
        <x:v>7</x:v>
      </x:c>
      <x:c r="J161" s="53" t="n">
        <x:v>8</x:v>
      </x:c>
      <x:c r="K161" s="53" t="n">
        <x:v>8</x:v>
      </x:c>
      <x:c r="L161" s="53" t="n">
        <x:v>6</x:v>
      </x:c>
      <x:c r="M161" s="53" t="n">
        <x:v>3</x:v>
      </x:c>
      <x:c r="N161" s="53" t="str">
        <x:v>PASS</x:v>
      </x:c>
      <x:c r="O161" s="62" t="str">
        <x:v>需核对规格、税费、安装和售后边界</x:v>
      </x:c>
      <x:c r="P161" s="63" t="n">
        <x:f>IF(N161="PASS",H161*'02_假设与情景'!$H$6+I161*'02_假设与情景'!$H$7+J161*'02_假设与情景'!$H$8+K161*'02_假设与情景'!$H$9+L161*'02_假设与情景'!$H$10+M161*'02_假设与情景'!$H$11,0)</x:f>
        <x:v>7.6499999999999995</x:v>
      </x:c>
      <x:c r="Q161" s="64" t="str">
        <x:f>IF(N161&lt;&gt;"PASS","不推荐-需再验证",IF(P161&gt;=8,"优先候选",IF(P161&gt;=7,"可询价","备选")))</x:f>
        <x:v>可询价</x:v>
      </x:c>
      <x:c r="R161" s="12" t="str">
        <x:v>SRC-031</x:v>
      </x:c>
      <x:c r="S161" s="12" t="str">
        <x:v>进入同规格询价和总拥有成本比较</x:v>
      </x:c>
    </x:row>
    <x:row r="162">
      <x:c r="A162" t="str">
        <x:v>ALT-157</x:v>
      </x:c>
      <x:c r="B162" t="str">
        <x:v>OPEX-025</x:v>
      </x:c>
      <x:c r="C162" t="str">
        <x:v>GMP、EHS、岗位和设备培训</x:v>
      </x:c>
      <x:c r="D162" t="str">
        <x:v>品质优选：头部品牌全服务包</x:v>
      </x:c>
      <x:c r="E162" t="str">
        <x:v>头部品牌/专业服务商</x:v>
      </x:c>
      <x:c r="F162" s="51" t="n">
        <x:v>3000</x:v>
      </x:c>
      <x:c r="G162" s="51" t="n">
        <x:v>3540</x:v>
      </x:c>
      <x:c r="H162" s="60" t="n">
        <x:f>IF(G162=0,0,MIN(10,10*F162/G162))</x:f>
        <x:v>8.474576271186441</x:v>
      </x:c>
      <x:c r="I162" s="53" t="n">
        <x:v>9</x:v>
      </x:c>
      <x:c r="J162" s="53" t="n">
        <x:v>9</x:v>
      </x:c>
      <x:c r="K162" s="53" t="n">
        <x:v>7</x:v>
      </x:c>
      <x:c r="L162" s="53" t="n">
        <x:v>9</x:v>
      </x:c>
      <x:c r="M162" s="53" t="n">
        <x:v>3</x:v>
      </x:c>
      <x:c r="N162" s="53" t="str">
        <x:v>PASS</x:v>
      </x:c>
      <x:c r="O162" s="62" t="str">
        <x:v>需核对规格、税费、安装和售后边界</x:v>
      </x:c>
      <x:c r="P162" s="63" t="n">
        <x:f>IF(N162="PASS",H162*'02_假设与情景'!$H$6+I162*'02_假设与情景'!$H$7+J162*'02_假设与情景'!$H$8+K162*'02_假设与情景'!$H$9+L162*'02_假设与情景'!$H$10+M162*'02_假设与情景'!$H$11,0)</x:f>
        <x:v>8.042372881355933</x:v>
      </x:c>
      <x:c r="Q162" s="64" t="str">
        <x:f>IF(N162&lt;&gt;"PASS","不推荐-需再验证",IF(P162&gt;=8,"优先候选",IF(P162&gt;=7,"可询价","备选")))</x:f>
        <x:v>优先候选</x:v>
      </x:c>
      <x:c r="R162" s="12" t="str">
        <x:v>SRC-031</x:v>
      </x:c>
      <x:c r="S162" s="12" t="str">
        <x:v>进入同规格询价和总拥有成本比较</x:v>
      </x:c>
    </x:row>
    <x:row r="163">
      <x:c r="A163" t="str">
        <x:v>ALT-158</x:v>
      </x:c>
      <x:c r="B163" t="str">
        <x:v>OPEX-026</x:v>
      </x:c>
      <x:c r="C163" t="str">
        <x:v>财产、责任、雇主和货运保险</x:v>
      </x:c>
      <x:c r="D163" t="str">
        <x:v>成本优选：同规格国产合规供应商双询价</x:v>
      </x:c>
      <x:c r="E163" t="str">
        <x:v>国产/本地供应链</x:v>
      </x:c>
      <x:c r="F163" s="51" t="n">
        <x:v>150000</x:v>
      </x:c>
      <x:c r="G163" s="51" t="n">
        <x:v>127500</x:v>
      </x:c>
      <x:c r="H163" s="60" t="n">
        <x:f>IF(G163=0,0,MIN(10,10*F163/G163))</x:f>
        <x:v>10</x:v>
      </x:c>
      <x:c r="I163" s="53" t="n">
        <x:v>7</x:v>
      </x:c>
      <x:c r="J163" s="53" t="n">
        <x:v>8</x:v>
      </x:c>
      <x:c r="K163" s="53" t="n">
        <x:v>8</x:v>
      </x:c>
      <x:c r="L163" s="53" t="n">
        <x:v>6</x:v>
      </x:c>
      <x:c r="M163" s="53" t="n">
        <x:v>2</x:v>
      </x:c>
      <x:c r="N163" s="53" t="str">
        <x:v>PASS</x:v>
      </x:c>
      <x:c r="O163" s="62" t="str">
        <x:v>需核对规格、税费、安装和售后边界</x:v>
      </x:c>
      <x:c r="P163" s="63" t="n">
        <x:f>IF(N163="PASS",H163*'02_假设与情景'!$H$6+I163*'02_假设与情景'!$H$7+J163*'02_假设与情景'!$H$8+K163*'02_假设与情景'!$H$9+L163*'02_假设与情景'!$H$10+M163*'02_假设与情景'!$H$11,0)</x:f>
        <x:v>7.55</x:v>
      </x:c>
      <x:c r="Q163" s="64" t="str">
        <x:f>IF(N163&lt;&gt;"PASS","不推荐-需再验证",IF(P163&gt;=8,"优先候选",IF(P163&gt;=7,"可询价","备选")))</x:f>
        <x:v>可询价</x:v>
      </x:c>
      <x:c r="R163" s="12" t="str">
        <x:v>SRC-031</x:v>
      </x:c>
      <x:c r="S163" s="12" t="str">
        <x:v>进入同规格询价和总拥有成本比较</x:v>
      </x:c>
    </x:row>
    <x:row r="164">
      <x:c r="A164" t="str">
        <x:v>ALT-159</x:v>
      </x:c>
      <x:c r="B164" t="str">
        <x:v>OPEX-026</x:v>
      </x:c>
      <x:c r="C164" t="str">
        <x:v>财产、责任、雇主和货运保险</x:v>
      </x:c>
      <x:c r="D164" t="str">
        <x:v>品质优选：头部品牌全服务包</x:v>
      </x:c>
      <x:c r="E164" t="str">
        <x:v>头部品牌/专业服务商</x:v>
      </x:c>
      <x:c r="F164" s="51" t="n">
        <x:v>150000</x:v>
      </x:c>
      <x:c r="G164" s="51" t="n">
        <x:v>177000</x:v>
      </x:c>
      <x:c r="H164" s="60" t="n">
        <x:f>IF(G164=0,0,MIN(10,10*F164/G164))</x:f>
        <x:v>8.474576271186441</x:v>
      </x:c>
      <x:c r="I164" s="53" t="n">
        <x:v>9</x:v>
      </x:c>
      <x:c r="J164" s="53" t="n">
        <x:v>9</x:v>
      </x:c>
      <x:c r="K164" s="53" t="n">
        <x:v>7</x:v>
      </x:c>
      <x:c r="L164" s="53" t="n">
        <x:v>9</x:v>
      </x:c>
      <x:c r="M164" s="53" t="n">
        <x:v>3</x:v>
      </x:c>
      <x:c r="N164" s="53" t="str">
        <x:v>PASS</x:v>
      </x:c>
      <x:c r="O164" s="62" t="str">
        <x:v>需核对规格、税费、安装和售后边界</x:v>
      </x:c>
      <x:c r="P164" s="63" t="n">
        <x:f>IF(N164="PASS",H164*'02_假设与情景'!$H$6+I164*'02_假设与情景'!$H$7+J164*'02_假设与情景'!$H$8+K164*'02_假设与情景'!$H$9+L164*'02_假设与情景'!$H$10+M164*'02_假设与情景'!$H$11,0)</x:f>
        <x:v>8.042372881355933</x:v>
      </x:c>
      <x:c r="Q164" s="64" t="str">
        <x:f>IF(N164&lt;&gt;"PASS","不推荐-需再验证",IF(P164&gt;=8,"优先候选",IF(P164&gt;=7,"可询价","备选")))</x:f>
        <x:v>优先候选</x:v>
      </x:c>
      <x:c r="R164" s="12" t="str">
        <x:v>SRC-031</x:v>
      </x:c>
      <x:c r="S164" s="12" t="str">
        <x:v>进入同规格询价和总拥有成本比较</x:v>
      </x:c>
    </x:row>
    <x:row r="165">
      <x:c r="A165" t="str">
        <x:v>ALT-160</x:v>
      </x:c>
      <x:c r="B165" t="str">
        <x:v>OPEX-027</x:v>
      </x:c>
      <x:c r="C165" t="str">
        <x:v>稳定性研究、留样和复测</x:v>
      </x:c>
      <x:c r="D165" t="str">
        <x:v>成本优选：同规格国产合规供应商双询价</x:v>
      </x:c>
      <x:c r="E165" t="str">
        <x:v>国产/本地供应链</x:v>
      </x:c>
      <x:c r="F165" s="51" t="n">
        <x:v>12000</x:v>
      </x:c>
      <x:c r="G165" s="51" t="n">
        <x:v>10200</x:v>
      </x:c>
      <x:c r="H165" s="60" t="n">
        <x:f>IF(G165=0,0,MIN(10,10*F165/G165))</x:f>
        <x:v>10</x:v>
      </x:c>
      <x:c r="I165" s="53" t="n">
        <x:v>7</x:v>
      </x:c>
      <x:c r="J165" s="53" t="n">
        <x:v>8</x:v>
      </x:c>
      <x:c r="K165" s="53" t="n">
        <x:v>8</x:v>
      </x:c>
      <x:c r="L165" s="53" t="n">
        <x:v>6</x:v>
      </x:c>
      <x:c r="M165" s="53" t="n">
        <x:v>2</x:v>
      </x:c>
      <x:c r="N165" s="53" t="str">
        <x:v>PASS</x:v>
      </x:c>
      <x:c r="O165" s="62" t="str">
        <x:v>需核对规格、税费、安装和售后边界</x:v>
      </x:c>
      <x:c r="P165" s="63" t="n">
        <x:f>IF(N165="PASS",H165*'02_假设与情景'!$H$6+I165*'02_假设与情景'!$H$7+J165*'02_假设与情景'!$H$8+K165*'02_假设与情景'!$H$9+L165*'02_假设与情景'!$H$10+M165*'02_假设与情景'!$H$11,0)</x:f>
        <x:v>7.55</x:v>
      </x:c>
      <x:c r="Q165" s="64" t="str">
        <x:f>IF(N165&lt;&gt;"PASS","不推荐-需再验证",IF(P165&gt;=8,"优先候选",IF(P165&gt;=7,"可询价","备选")))</x:f>
        <x:v>可询价</x:v>
      </x:c>
      <x:c r="R165" s="12" t="str">
        <x:v>SRC-031</x:v>
      </x:c>
      <x:c r="S165" s="12" t="str">
        <x:v>进入同规格询价和总拥有成本比较</x:v>
      </x:c>
    </x:row>
    <x:row r="166">
      <x:c r="A166" t="str">
        <x:v>ALT-161</x:v>
      </x:c>
      <x:c r="B166" t="str">
        <x:v>OPEX-027</x:v>
      </x:c>
      <x:c r="C166" t="str">
        <x:v>稳定性研究、留样和复测</x:v>
      </x:c>
      <x:c r="D166" t="str">
        <x:v>品质优选：头部品牌全服务包</x:v>
      </x:c>
      <x:c r="E166" t="str">
        <x:v>头部品牌/专业服务商</x:v>
      </x:c>
      <x:c r="F166" s="51" t="n">
        <x:v>12000</x:v>
      </x:c>
      <x:c r="G166" s="51" t="n">
        <x:v>14160</x:v>
      </x:c>
      <x:c r="H166" s="60" t="n">
        <x:f>IF(G166=0,0,MIN(10,10*F166/G166))</x:f>
        <x:v>8.474576271186441</x:v>
      </x:c>
      <x:c r="I166" s="53" t="n">
        <x:v>9</x:v>
      </x:c>
      <x:c r="J166" s="53" t="n">
        <x:v>9</x:v>
      </x:c>
      <x:c r="K166" s="53" t="n">
        <x:v>7</x:v>
      </x:c>
      <x:c r="L166" s="53" t="n">
        <x:v>9</x:v>
      </x:c>
      <x:c r="M166" s="53" t="n">
        <x:v>3</x:v>
      </x:c>
      <x:c r="N166" s="53" t="str">
        <x:v>PASS</x:v>
      </x:c>
      <x:c r="O166" s="62" t="str">
        <x:v>需核对规格、税费、安装和售后边界</x:v>
      </x:c>
      <x:c r="P166" s="63" t="n">
        <x:f>IF(N166="PASS",H166*'02_假设与情景'!$H$6+I166*'02_假设与情景'!$H$7+J166*'02_假设与情景'!$H$8+K166*'02_假设与情景'!$H$9+L166*'02_假设与情景'!$H$10+M166*'02_假设与情景'!$H$11,0)</x:f>
        <x:v>8.042372881355933</x:v>
      </x:c>
      <x:c r="Q166" s="64" t="str">
        <x:f>IF(N166&lt;&gt;"PASS","不推荐-需再验证",IF(P166&gt;=8,"优先候选",IF(P166&gt;=7,"可询价","备选")))</x:f>
        <x:v>优先候选</x:v>
      </x:c>
      <x:c r="R166" s="12" t="str">
        <x:v>SRC-031</x:v>
      </x:c>
      <x:c r="S166" s="12" t="str">
        <x:v>进入同规格询价和总拥有成本比较</x:v>
      </x:c>
    </x:row>
    <x:row r="167">
      <x:c r="A167" t="str">
        <x:v>ALT-162</x:v>
      </x:c>
      <x:c r="B167" t="str">
        <x:v>OPEX-028</x:v>
      </x:c>
      <x:c r="C167" t="str">
        <x:v>工艺确认、持续验证和变更验证</x:v>
      </x:c>
      <x:c r="D167" t="str">
        <x:v>成本优选：同规格国产合规供应商双询价</x:v>
      </x:c>
      <x:c r="E167" t="str">
        <x:v>国产/本地供应链</x:v>
      </x:c>
      <x:c r="F167" s="51" t="n">
        <x:v>500000</x:v>
      </x:c>
      <x:c r="G167" s="51" t="n">
        <x:v>425000</x:v>
      </x:c>
      <x:c r="H167" s="60" t="n">
        <x:f>IF(G167=0,0,MIN(10,10*F167/G167))</x:f>
        <x:v>10</x:v>
      </x:c>
      <x:c r="I167" s="53" t="n">
        <x:v>7</x:v>
      </x:c>
      <x:c r="J167" s="53" t="n">
        <x:v>8</x:v>
      </x:c>
      <x:c r="K167" s="53" t="n">
        <x:v>8</x:v>
      </x:c>
      <x:c r="L167" s="53" t="n">
        <x:v>6</x:v>
      </x:c>
      <x:c r="M167" s="53" t="n">
        <x:v>2</x:v>
      </x:c>
      <x:c r="N167" s="53" t="str">
        <x:v>PASS</x:v>
      </x:c>
      <x:c r="O167" s="62" t="str">
        <x:v>需核对规格、税费、安装和售后边界</x:v>
      </x:c>
      <x:c r="P167" s="63" t="n">
        <x:f>IF(N167="PASS",H167*'02_假设与情景'!$H$6+I167*'02_假设与情景'!$H$7+J167*'02_假设与情景'!$H$8+K167*'02_假设与情景'!$H$9+L167*'02_假设与情景'!$H$10+M167*'02_假设与情景'!$H$11,0)</x:f>
        <x:v>7.55</x:v>
      </x:c>
      <x:c r="Q167" s="64" t="str">
        <x:f>IF(N167&lt;&gt;"PASS","不推荐-需再验证",IF(P167&gt;=8,"优先候选",IF(P167&gt;=7,"可询价","备选")))</x:f>
        <x:v>可询价</x:v>
      </x:c>
      <x:c r="R167" s="12" t="str">
        <x:v>SRC-031</x:v>
      </x:c>
      <x:c r="S167" s="12" t="str">
        <x:v>进入同规格询价和总拥有成本比较</x:v>
      </x:c>
    </x:row>
    <x:row r="168">
      <x:c r="A168" t="str">
        <x:v>ALT-163</x:v>
      </x:c>
      <x:c r="B168" t="str">
        <x:v>OPEX-028</x:v>
      </x:c>
      <x:c r="C168" t="str">
        <x:v>工艺确认、持续验证和变更验证</x:v>
      </x:c>
      <x:c r="D168" t="str">
        <x:v>品质优选：头部品牌全服务包</x:v>
      </x:c>
      <x:c r="E168" t="str">
        <x:v>头部品牌/专业服务商</x:v>
      </x:c>
      <x:c r="F168" s="51" t="n">
        <x:v>500000</x:v>
      </x:c>
      <x:c r="G168" s="51" t="n">
        <x:v>590000</x:v>
      </x:c>
      <x:c r="H168" s="60" t="n">
        <x:f>IF(G168=0,0,MIN(10,10*F168/G168))</x:f>
        <x:v>8.474576271186441</x:v>
      </x:c>
      <x:c r="I168" s="53" t="n">
        <x:v>9</x:v>
      </x:c>
      <x:c r="J168" s="53" t="n">
        <x:v>9</x:v>
      </x:c>
      <x:c r="K168" s="53" t="n">
        <x:v>7</x:v>
      </x:c>
      <x:c r="L168" s="53" t="n">
        <x:v>9</x:v>
      </x:c>
      <x:c r="M168" s="53" t="n">
        <x:v>3</x:v>
      </x:c>
      <x:c r="N168" s="53" t="str">
        <x:v>PASS</x:v>
      </x:c>
      <x:c r="O168" s="62" t="str">
        <x:v>需核对规格、税费、安装和售后边界</x:v>
      </x:c>
      <x:c r="P168" s="63" t="n">
        <x:f>IF(N168="PASS",H168*'02_假设与情景'!$H$6+I168*'02_假设与情景'!$H$7+J168*'02_假设与情景'!$H$8+K168*'02_假设与情景'!$H$9+L168*'02_假设与情景'!$H$10+M168*'02_假设与情景'!$H$11,0)</x:f>
        <x:v>8.042372881355933</x:v>
      </x:c>
      <x:c r="Q168" s="64" t="str">
        <x:f>IF(N168&lt;&gt;"PASS","不推荐-需再验证",IF(P168&gt;=8,"优先候选",IF(P168&gt;=7,"可询价","备选")))</x:f>
        <x:v>优先候选</x:v>
      </x:c>
      <x:c r="R168" s="12" t="str">
        <x:v>SRC-031</x:v>
      </x:c>
      <x:c r="S168" s="12" t="str">
        <x:v>进入同规格询价和总拥有成本比较</x:v>
      </x:c>
    </x:row>
    <x:row r="169">
      <x:c r="A169" t="str">
        <x:v>ALT-164</x:v>
      </x:c>
      <x:c r="B169" t="str">
        <x:v>OPEX-029</x:v>
      </x:c>
      <x:c r="C169" t="str">
        <x:v>洁净区清洁、消毒和虫害控制服务</x:v>
      </x:c>
      <x:c r="D169" t="str">
        <x:v>成本优选：同规格国产合规供应商双询价</x:v>
      </x:c>
      <x:c r="E169" t="str">
        <x:v>国产/本地供应链</x:v>
      </x:c>
      <x:c r="F169" s="51" t="n">
        <x:v>120000</x:v>
      </x:c>
      <x:c r="G169" s="51" t="n">
        <x:v>102000</x:v>
      </x:c>
      <x:c r="H169" s="60" t="n">
        <x:f>IF(G169=0,0,MIN(10,10*F169/G169))</x:f>
        <x:v>10</x:v>
      </x:c>
      <x:c r="I169" s="53" t="n">
        <x:v>7</x:v>
      </x:c>
      <x:c r="J169" s="53" t="n">
        <x:v>8</x:v>
      </x:c>
      <x:c r="K169" s="53" t="n">
        <x:v>8</x:v>
      </x:c>
      <x:c r="L169" s="53" t="n">
        <x:v>6</x:v>
      </x:c>
      <x:c r="M169" s="53" t="n">
        <x:v>2</x:v>
      </x:c>
      <x:c r="N169" s="53" t="str">
        <x:v>PASS</x:v>
      </x:c>
      <x:c r="O169" s="62" t="str">
        <x:v>需核对规格、税费、安装和售后边界</x:v>
      </x:c>
      <x:c r="P169" s="63" t="n">
        <x:f>IF(N169="PASS",H169*'02_假设与情景'!$H$6+I169*'02_假设与情景'!$H$7+J169*'02_假设与情景'!$H$8+K169*'02_假设与情景'!$H$9+L169*'02_假设与情景'!$H$10+M169*'02_假设与情景'!$H$11,0)</x:f>
        <x:v>7.55</x:v>
      </x:c>
      <x:c r="Q169" s="64" t="str">
        <x:f>IF(N169&lt;&gt;"PASS","不推荐-需再验证",IF(P169&gt;=8,"优先候选",IF(P169&gt;=7,"可询价","备选")))</x:f>
        <x:v>可询价</x:v>
      </x:c>
      <x:c r="R169" s="12" t="str">
        <x:v>SRC-031</x:v>
      </x:c>
      <x:c r="S169" s="12" t="str">
        <x:v>进入同规格询价和总拥有成本比较</x:v>
      </x:c>
    </x:row>
    <x:row r="170">
      <x:c r="A170" t="str">
        <x:v>ALT-165</x:v>
      </x:c>
      <x:c r="B170" t="str">
        <x:v>OPEX-029</x:v>
      </x:c>
      <x:c r="C170" t="str">
        <x:v>洁净区清洁、消毒和虫害控制服务</x:v>
      </x:c>
      <x:c r="D170" t="str">
        <x:v>品质优选：头部品牌全服务包</x:v>
      </x:c>
      <x:c r="E170" t="str">
        <x:v>头部品牌/专业服务商</x:v>
      </x:c>
      <x:c r="F170" s="51" t="n">
        <x:v>120000</x:v>
      </x:c>
      <x:c r="G170" s="51" t="n">
        <x:v>141600</x:v>
      </x:c>
      <x:c r="H170" s="60" t="n">
        <x:f>IF(G170=0,0,MIN(10,10*F170/G170))</x:f>
        <x:v>8.474576271186441</x:v>
      </x:c>
      <x:c r="I170" s="53" t="n">
        <x:v>9</x:v>
      </x:c>
      <x:c r="J170" s="53" t="n">
        <x:v>9</x:v>
      </x:c>
      <x:c r="K170" s="53" t="n">
        <x:v>7</x:v>
      </x:c>
      <x:c r="L170" s="53" t="n">
        <x:v>9</x:v>
      </x:c>
      <x:c r="M170" s="53" t="n">
        <x:v>3</x:v>
      </x:c>
      <x:c r="N170" s="53" t="str">
        <x:v>PASS</x:v>
      </x:c>
      <x:c r="O170" s="62" t="str">
        <x:v>需核对规格、税费、安装和售后边界</x:v>
      </x:c>
      <x:c r="P170" s="63" t="n">
        <x:f>IF(N170="PASS",H170*'02_假设与情景'!$H$6+I170*'02_假设与情景'!$H$7+J170*'02_假设与情景'!$H$8+K170*'02_假设与情景'!$H$9+L170*'02_假设与情景'!$H$10+M170*'02_假设与情景'!$H$11,0)</x:f>
        <x:v>8.042372881355933</x:v>
      </x:c>
      <x:c r="Q170" s="64" t="str">
        <x:f>IF(N170&lt;&gt;"PASS","不推荐-需再验证",IF(P170&gt;=8,"优先候选",IF(P170&gt;=7,"可询价","备选")))</x:f>
        <x:v>优先候选</x:v>
      </x:c>
      <x:c r="R170" s="12" t="str">
        <x:v>SRC-031</x:v>
      </x:c>
      <x:c r="S170" s="12" t="str">
        <x:v>进入同规格询价和总拥有成本比较</x:v>
      </x:c>
    </x:row>
    <x:row r="171">
      <x:c r="A171" t="str">
        <x:v>ALT-166</x:v>
      </x:c>
      <x:c r="B171" t="str">
        <x:v>OPEX-030</x:v>
      </x:c>
      <x:c r="C171" t="str">
        <x:v>办公耗材、通信、差旅和日常行政</x:v>
      </x:c>
      <x:c r="D171" t="str">
        <x:v>成本优选：同规格国产合规供应商双询价</x:v>
      </x:c>
      <x:c r="E171" t="str">
        <x:v>国产/本地供应链</x:v>
      </x:c>
      <x:c r="F171" s="51" t="n">
        <x:v>150000</x:v>
      </x:c>
      <x:c r="G171" s="51" t="n">
        <x:v>127500</x:v>
      </x:c>
      <x:c r="H171" s="60" t="n">
        <x:f>IF(G171=0,0,MIN(10,10*F171/G171))</x:f>
        <x:v>10</x:v>
      </x:c>
      <x:c r="I171" s="53" t="n">
        <x:v>7</x:v>
      </x:c>
      <x:c r="J171" s="53" t="n">
        <x:v>8</x:v>
      </x:c>
      <x:c r="K171" s="53" t="n">
        <x:v>8</x:v>
      </x:c>
      <x:c r="L171" s="53" t="n">
        <x:v>6</x:v>
      </x:c>
      <x:c r="M171" s="53" t="n">
        <x:v>2</x:v>
      </x:c>
      <x:c r="N171" s="53" t="str">
        <x:v>PASS</x:v>
      </x:c>
      <x:c r="O171" s="62" t="str">
        <x:v>需核对规格、税费、安装和售后边界</x:v>
      </x:c>
      <x:c r="P171" s="63" t="n">
        <x:f>IF(N171="PASS",H171*'02_假设与情景'!$H$6+I171*'02_假设与情景'!$H$7+J171*'02_假设与情景'!$H$8+K171*'02_假设与情景'!$H$9+L171*'02_假设与情景'!$H$10+M171*'02_假设与情景'!$H$11,0)</x:f>
        <x:v>7.55</x:v>
      </x:c>
      <x:c r="Q171" s="64" t="str">
        <x:f>IF(N171&lt;&gt;"PASS","不推荐-需再验证",IF(P171&gt;=8,"优先候选",IF(P171&gt;=7,"可询价","备选")))</x:f>
        <x:v>可询价</x:v>
      </x:c>
      <x:c r="R171" s="12" t="str">
        <x:v>SRC-031</x:v>
      </x:c>
      <x:c r="S171" s="12" t="str">
        <x:v>进入同规格询价和总拥有成本比较</x:v>
      </x:c>
    </x:row>
    <x:row r="172">
      <x:c r="A172" t="str">
        <x:v>ALT-167</x:v>
      </x:c>
      <x:c r="B172" t="str">
        <x:v>OPEX-030</x:v>
      </x:c>
      <x:c r="C172" t="str">
        <x:v>办公耗材、通信、差旅和日常行政</x:v>
      </x:c>
      <x:c r="D172" t="str">
        <x:v>品质优选：头部品牌全服务包</x:v>
      </x:c>
      <x:c r="E172" t="str">
        <x:v>头部品牌/专业服务商</x:v>
      </x:c>
      <x:c r="F172" s="51" t="n">
        <x:v>150000</x:v>
      </x:c>
      <x:c r="G172" s="51" t="n">
        <x:v>177000</x:v>
      </x:c>
      <x:c r="H172" s="60" t="n">
        <x:f>IF(G172=0,0,MIN(10,10*F172/G172))</x:f>
        <x:v>8.474576271186441</x:v>
      </x:c>
      <x:c r="I172" s="53" t="n">
        <x:v>9</x:v>
      </x:c>
      <x:c r="J172" s="53" t="n">
        <x:v>9</x:v>
      </x:c>
      <x:c r="K172" s="53" t="n">
        <x:v>7</x:v>
      </x:c>
      <x:c r="L172" s="53" t="n">
        <x:v>9</x:v>
      </x:c>
      <x:c r="M172" s="53" t="n">
        <x:v>3</x:v>
      </x:c>
      <x:c r="N172" s="53" t="str">
        <x:v>PASS</x:v>
      </x:c>
      <x:c r="O172" s="62" t="str">
        <x:v>需核对规格、税费、安装和售后边界</x:v>
      </x:c>
      <x:c r="P172" s="63" t="n">
        <x:f>IF(N172="PASS",H172*'02_假设与情景'!$H$6+I172*'02_假设与情景'!$H$7+J172*'02_假设与情景'!$H$8+K172*'02_假设与情景'!$H$9+L172*'02_假设与情景'!$H$10+M172*'02_假设与情景'!$H$11,0)</x:f>
        <x:v>8.042372881355933</x:v>
      </x:c>
      <x:c r="Q172" s="64" t="str">
        <x:f>IF(N172&lt;&gt;"PASS","不推荐-需再验证",IF(P172&gt;=8,"优先候选",IF(P172&gt;=7,"可询价","备选")))</x:f>
        <x:v>优先候选</x:v>
      </x:c>
      <x:c r="R172" s="12" t="str">
        <x:v>SRC-031</x:v>
      </x:c>
      <x:c r="S172" s="12" t="str">
        <x:v>进入同规格询价和总拥有成本比较</x:v>
      </x:c>
    </x:row>
    <x:row r="173">
      <x:c r="A173" t="str">
        <x:v>ALT-168</x:v>
      </x:c>
      <x:c r="B173" t="str">
        <x:v>OPEX-031</x:v>
      </x:c>
      <x:c r="C173" t="str">
        <x:v>批次报废、偏差调查和召回演练准备</x:v>
      </x:c>
      <x:c r="D173" t="str">
        <x:v>成本优选：同规格国产合规供应商双询价</x:v>
      </x:c>
      <x:c r="E173" t="str">
        <x:v>国产/本地供应链</x:v>
      </x:c>
      <x:c r="F173" s="51" t="n">
        <x:v>300000</x:v>
      </x:c>
      <x:c r="G173" s="51" t="n">
        <x:v>255000</x:v>
      </x:c>
      <x:c r="H173" s="60" t="n">
        <x:f>IF(G173=0,0,MIN(10,10*F173/G173))</x:f>
        <x:v>10</x:v>
      </x:c>
      <x:c r="I173" s="53" t="n">
        <x:v>7</x:v>
      </x:c>
      <x:c r="J173" s="53" t="n">
        <x:v>8</x:v>
      </x:c>
      <x:c r="K173" s="53" t="n">
        <x:v>8</x:v>
      </x:c>
      <x:c r="L173" s="53" t="n">
        <x:v>6</x:v>
      </x:c>
      <x:c r="M173" s="53" t="n">
        <x:v>2</x:v>
      </x:c>
      <x:c r="N173" s="53" t="str">
        <x:v>PASS</x:v>
      </x:c>
      <x:c r="O173" s="62" t="str">
        <x:v>需核对规格、税费、安装和售后边界</x:v>
      </x:c>
      <x:c r="P173" s="63" t="n">
        <x:f>IF(N173="PASS",H173*'02_假设与情景'!$H$6+I173*'02_假设与情景'!$H$7+J173*'02_假设与情景'!$H$8+K173*'02_假设与情景'!$H$9+L173*'02_假设与情景'!$H$10+M173*'02_假设与情景'!$H$11,0)</x:f>
        <x:v>7.55</x:v>
      </x:c>
      <x:c r="Q173" s="64" t="str">
        <x:f>IF(N173&lt;&gt;"PASS","不推荐-需再验证",IF(P173&gt;=8,"优先候选",IF(P173&gt;=7,"可询价","备选")))</x:f>
        <x:v>可询价</x:v>
      </x:c>
      <x:c r="R173" s="12" t="str">
        <x:v>SRC-031</x:v>
      </x:c>
      <x:c r="S173" s="12" t="str">
        <x:v>进入同规格询价和总拥有成本比较</x:v>
      </x:c>
    </x:row>
    <x:row r="174">
      <x:c r="A174" t="str">
        <x:v>ALT-169</x:v>
      </x:c>
      <x:c r="B174" t="str">
        <x:v>OPEX-031</x:v>
      </x:c>
      <x:c r="C174" t="str">
        <x:v>批次报废、偏差调查和召回演练准备</x:v>
      </x:c>
      <x:c r="D174" t="str">
        <x:v>品质优选：头部品牌全服务包</x:v>
      </x:c>
      <x:c r="E174" t="str">
        <x:v>头部品牌/专业服务商</x:v>
      </x:c>
      <x:c r="F174" s="51" t="n">
        <x:v>300000</x:v>
      </x:c>
      <x:c r="G174" s="51" t="n">
        <x:v>354000</x:v>
      </x:c>
      <x:c r="H174" s="60" t="n">
        <x:f>IF(G174=0,0,MIN(10,10*F174/G174))</x:f>
        <x:v>8.474576271186441</x:v>
      </x:c>
      <x:c r="I174" s="53" t="n">
        <x:v>9</x:v>
      </x:c>
      <x:c r="J174" s="53" t="n">
        <x:v>9</x:v>
      </x:c>
      <x:c r="K174" s="53" t="n">
        <x:v>7</x:v>
      </x:c>
      <x:c r="L174" s="53" t="n">
        <x:v>9</x:v>
      </x:c>
      <x:c r="M174" s="53" t="n">
        <x:v>3</x:v>
      </x:c>
      <x:c r="N174" s="53" t="str">
        <x:v>PASS</x:v>
      </x:c>
      <x:c r="O174" s="62" t="str">
        <x:v>需核对规格、税费、安装和售后边界</x:v>
      </x:c>
      <x:c r="P174" s="63" t="n">
        <x:f>IF(N174="PASS",H174*'02_假设与情景'!$H$6+I174*'02_假设与情景'!$H$7+J174*'02_假设与情景'!$H$8+K174*'02_假设与情景'!$H$9+L174*'02_假设与情景'!$H$10+M174*'02_假设与情景'!$H$11,0)</x:f>
        <x:v>8.042372881355933</x:v>
      </x:c>
      <x:c r="Q174" s="64" t="str">
        <x:f>IF(N174&lt;&gt;"PASS","不推荐-需再验证",IF(P174&gt;=8,"优先候选",IF(P174&gt;=7,"可询价","备选")))</x:f>
        <x:v>优先候选</x:v>
      </x:c>
      <x:c r="R174" s="12" t="str">
        <x:v>SRC-031</x:v>
      </x:c>
      <x:c r="S174" s="12" t="str">
        <x:v>进入同规格询价和总拥有成本比较</x:v>
      </x:c>
    </x:row>
    <x:row r="175">
      <x:c r="A175" t="str">
        <x:v>ALT-170</x:v>
      </x:c>
      <x:c r="B175" t="str">
        <x:v>BOM-001</x:v>
      </x:c>
      <x:c r="C175" t="str">
        <x:v>正向PCR引物（21 nt，无修饰）</x:v>
      </x:c>
      <x:c r="D175" t="str">
        <x:v>正向引物完整构型RFQ-A</x:v>
      </x:c>
      <x:c r="E175" t="str">
        <x:v>21 nt无修饰+HPLC/10 OD等效</x:v>
      </x:c>
      <x:c r="F175" s="51" t="n">
        <x:v>180</x:v>
      </x:c>
      <x:c r="G175" s="51" t="n">
        <x:v>180</x:v>
      </x:c>
      <x:c r="H175" s="60" t="n">
        <x:f>IF(G175=0,0,MIN(10,10*F175/G175))</x:f>
        <x:v>10</x:v>
      </x:c>
      <x:c r="I175" s="53" t="n">
        <x:v>9</x:v>
      </x:c>
      <x:c r="J175" s="53" t="n">
        <x:v>9</x:v>
      </x:c>
      <x:c r="K175" s="53" t="n">
        <x:v>9</x:v>
      </x:c>
      <x:c r="L175" s="53" t="n">
        <x:v>8</x:v>
      </x:c>
      <x:c r="M175" s="53" t="n">
        <x:v>8</x:v>
      </x:c>
      <x:c r="N175" s="53" t="str">
        <x:v>PASS</x:v>
      </x:c>
      <x:c r="O175" s="62" t="str">
        <x:v>需小试、三批一致性、方向与修饰端位复核</x:v>
      </x:c>
      <x:c r="P175" s="63" t="n">
        <x:f>IF(N175="PASS",H175*'02_假设与情景'!$H$6+I175*'02_假设与情景'!$H$7+J175*'02_假设与情景'!$H$8+K175*'02_假设与情景'!$H$9+L175*'02_假设与情景'!$H$10+M175*'02_假设与情景'!$H$11,0)</x:f>
        <x:v>9.100000000000001</x:v>
      </x:c>
      <x:c r="Q175" s="64" t="str">
        <x:f>IF(N175&lt;&gt;"PASS","不推荐-需再验证",IF(P175&gt;=8,"优先候选",IF(P175&gt;=7,"可询价","备选")))</x:f>
        <x:v>优先候选</x:v>
      </x:c>
      <x:c r="R175" s="12" t="str">
        <x:v>SRC-032, SRC-033, SRC-036</x:v>
      </x:c>
      <x:c r="S175" s="12" t="str">
        <x:v>预算代理价，不是供应商精确报价；RFQ必须锁定序列、5′/3′修饰、纯化、质控、税运、MOQ和失败重合成责任</x:v>
      </x:c>
    </x:row>
    <x:row r="176">
      <x:c r="A176" t="str">
        <x:v>ALT-171</x:v>
      </x:c>
      <x:c r="B176" t="str">
        <x:v>BOM-001</x:v>
      </x:c>
      <x:c r="C176" t="str">
        <x:v>正向PCR引物（21 nt，无修饰）</x:v>
      </x:c>
      <x:c r="D176" t="str">
        <x:v>正向引物完整构型RFQ-B</x:v>
      </x:c>
      <x:c r="E176" t="str">
        <x:v>国产双来源/同规格</x:v>
      </x:c>
      <x:c r="F176" s="51" t="n">
        <x:v>180</x:v>
      </x:c>
      <x:c r="G176" s="51" t="n">
        <x:v>162</x:v>
      </x:c>
      <x:c r="H176" s="60" t="n">
        <x:f>IF(G176=0,0,MIN(10,10*F176/G176))</x:f>
        <x:v>10</x:v>
      </x:c>
      <x:c r="I176" s="53" t="n">
        <x:v>8</x:v>
      </x:c>
      <x:c r="J176" s="53" t="n">
        <x:v>8</x:v>
      </x:c>
      <x:c r="K176" s="53" t="n">
        <x:v>9</x:v>
      </x:c>
      <x:c r="L176" s="53" t="n">
        <x:v>7</x:v>
      </x:c>
      <x:c r="M176" s="53" t="n">
        <x:v>6</x:v>
      </x:c>
      <x:c r="N176" s="53" t="str">
        <x:v>PASS</x:v>
      </x:c>
      <x:c r="O176" s="62" t="str">
        <x:v>需小试、三批一致性、方向与修饰端位复核</x:v>
      </x:c>
      <x:c r="P176" s="63" t="n">
        <x:f>IF(N176="PASS",H176*'02_假设与情景'!$H$6+I176*'02_假设与情景'!$H$7+J176*'02_假设与情景'!$H$8+K176*'02_假设与情景'!$H$9+L176*'02_假设与情景'!$H$10+M176*'02_假设与情景'!$H$11,0)</x:f>
        <x:v>8.4</x:v>
      </x:c>
      <x:c r="Q176" s="64" t="str">
        <x:f>IF(N176&lt;&gt;"PASS","不推荐-需再验证",IF(P176&gt;=8,"优先候选",IF(P176&gt;=7,"可询价","备选")))</x:f>
        <x:v>优先候选</x:v>
      </x:c>
      <x:c r="R176" s="12" t="str">
        <x:v>SRC-002, SRC-003, SRC-036</x:v>
      </x:c>
      <x:c r="S176" s="12" t="str">
        <x:v>预算代理价，不是供应商精确报价；RFQ必须锁定序列、5′/3′修饰、纯化、质控、税运、MOQ和失败重合成责任</x:v>
      </x:c>
    </x:row>
    <x:row r="177">
      <x:c r="A177" t="str">
        <x:v>ALT-172</x:v>
      </x:c>
      <x:c r="B177" t="str">
        <x:v>BOM-002</x:v>
      </x:c>
      <x:c r="C177" t="str">
        <x:v>反向PCR引物（20 nt，无修饰）</x:v>
      </x:c>
      <x:c r="D177" t="str">
        <x:v>反向引物完整构型RFQ-A</x:v>
      </x:c>
      <x:c r="E177" t="str">
        <x:v>20 nt无修饰+HPLC/10 OD等效</x:v>
      </x:c>
      <x:c r="F177" s="51" t="n">
        <x:v>180</x:v>
      </x:c>
      <x:c r="G177" s="51" t="n">
        <x:v>180</x:v>
      </x:c>
      <x:c r="H177" s="60" t="n">
        <x:f>IF(G177=0,0,MIN(10,10*F177/G177))</x:f>
        <x:v>10</x:v>
      </x:c>
      <x:c r="I177" s="53" t="n">
        <x:v>9</x:v>
      </x:c>
      <x:c r="J177" s="53" t="n">
        <x:v>9</x:v>
      </x:c>
      <x:c r="K177" s="53" t="n">
        <x:v>9</x:v>
      </x:c>
      <x:c r="L177" s="53" t="n">
        <x:v>8</x:v>
      </x:c>
      <x:c r="M177" s="53" t="n">
        <x:v>8</x:v>
      </x:c>
      <x:c r="N177" s="53" t="str">
        <x:v>PASS</x:v>
      </x:c>
      <x:c r="O177" s="62" t="str">
        <x:v>需小试、三批一致性、方向与修饰端位复核</x:v>
      </x:c>
      <x:c r="P177" s="63" t="n">
        <x:f>IF(N177="PASS",H177*'02_假设与情景'!$H$6+I177*'02_假设与情景'!$H$7+J177*'02_假设与情景'!$H$8+K177*'02_假设与情景'!$H$9+L177*'02_假设与情景'!$H$10+M177*'02_假设与情景'!$H$11,0)</x:f>
        <x:v>9.100000000000001</x:v>
      </x:c>
      <x:c r="Q177" s="64" t="str">
        <x:f>IF(N177&lt;&gt;"PASS","不推荐-需再验证",IF(P177&gt;=8,"优先候选",IF(P177&gt;=7,"可询价","备选")))</x:f>
        <x:v>优先候选</x:v>
      </x:c>
      <x:c r="R177" s="12" t="str">
        <x:v>SRC-032, SRC-033, SRC-036</x:v>
      </x:c>
      <x:c r="S177" s="12" t="str">
        <x:v>预算代理价，不是供应商精确报价；RFQ必须锁定序列、5′/3′修饰、纯化、质控、税运、MOQ和失败重合成责任</x:v>
      </x:c>
    </x:row>
    <x:row r="178">
      <x:c r="A178" t="str">
        <x:v>ALT-173</x:v>
      </x:c>
      <x:c r="B178" t="str">
        <x:v>BOM-002</x:v>
      </x:c>
      <x:c r="C178" t="str">
        <x:v>反向PCR引物（20 nt，无修饰）</x:v>
      </x:c>
      <x:c r="D178" t="str">
        <x:v>反向引物完整构型RFQ-B</x:v>
      </x:c>
      <x:c r="E178" t="str">
        <x:v>国产双来源/同规格</x:v>
      </x:c>
      <x:c r="F178" s="51" t="n">
        <x:v>180</x:v>
      </x:c>
      <x:c r="G178" s="51" t="n">
        <x:v>162</x:v>
      </x:c>
      <x:c r="H178" s="60" t="n">
        <x:f>IF(G178=0,0,MIN(10,10*F178/G178))</x:f>
        <x:v>10</x:v>
      </x:c>
      <x:c r="I178" s="53" t="n">
        <x:v>8</x:v>
      </x:c>
      <x:c r="J178" s="53" t="n">
        <x:v>8</x:v>
      </x:c>
      <x:c r="K178" s="53" t="n">
        <x:v>8</x:v>
      </x:c>
      <x:c r="L178" s="53" t="n">
        <x:v>7</x:v>
      </x:c>
      <x:c r="M178" s="53" t="n">
        <x:v>6</x:v>
      </x:c>
      <x:c r="N178" s="53" t="str">
        <x:v>PASS</x:v>
      </x:c>
      <x:c r="O178" s="62" t="str">
        <x:v>需小试、三批一致性、方向与修饰端位复核</x:v>
      </x:c>
      <x:c r="P178" s="63" t="n">
        <x:f>IF(N178="PASS",H178*'02_假设与情景'!$H$6+I178*'02_假设与情景'!$H$7+J178*'02_假设与情景'!$H$8+K178*'02_假设与情景'!$H$9+L178*'02_假设与情景'!$H$10+M178*'02_假设与情景'!$H$11,0)</x:f>
        <x:v>8.3</x:v>
      </x:c>
      <x:c r="Q178" s="64" t="str">
        <x:f>IF(N178&lt;&gt;"PASS","不推荐-需再验证",IF(P178&gt;=8,"优先候选",IF(P178&gt;=7,"可询价","备选")))</x:f>
        <x:v>优先候选</x:v>
      </x:c>
      <x:c r="R178" s="12" t="str">
        <x:v>SRC-002, SRC-003, SRC-036</x:v>
      </x:c>
      <x:c r="S178" s="12" t="str">
        <x:v>预算代理价，不是供应商精确报价；RFQ必须锁定序列、5′/3′修饰、纯化、质控、税运、MOQ和失败重合成责任</x:v>
      </x:c>
    </x:row>
    <x:row r="179">
      <x:c r="A179" t="str">
        <x:v>ALT-174</x:v>
      </x:c>
      <x:c r="B179" t="str">
        <x:v>BOM-003</x:v>
      </x:c>
      <x:c r="C179" t="str">
        <x:v>P链（5′BHQ2/3′BHQ1，17 nt）</x:v>
      </x:c>
      <x:c r="D179" t="str">
        <x:v>P双BHQ完整构型RFQ-A</x:v>
      </x:c>
      <x:c r="E179" t="str">
        <x:v>5′BHQ2/3′BHQ1/17 nt</x:v>
      </x:c>
      <x:c r="F179" s="51" t="n">
        <x:v>1800</x:v>
      </x:c>
      <x:c r="G179" s="51" t="n">
        <x:v>1800</x:v>
      </x:c>
      <x:c r="H179" s="60" t="n">
        <x:f>IF(G179=0,0,MIN(10,10*F179/G179))</x:f>
        <x:v>10</x:v>
      </x:c>
      <x:c r="I179" s="53" t="n">
        <x:v>9</x:v>
      </x:c>
      <x:c r="J179" s="53" t="n">
        <x:v>9</x:v>
      </x:c>
      <x:c r="K179" s="53" t="n">
        <x:v>9</x:v>
      </x:c>
      <x:c r="L179" s="53" t="n">
        <x:v>8</x:v>
      </x:c>
      <x:c r="M179" s="53" t="n">
        <x:v>8</x:v>
      </x:c>
      <x:c r="N179" s="53" t="str">
        <x:v>PASS</x:v>
      </x:c>
      <x:c r="O179" s="62" t="str">
        <x:v>需小试、三批一致性、方向与修饰端位复核</x:v>
      </x:c>
      <x:c r="P179" s="63" t="n">
        <x:f>IF(N179="PASS",H179*'02_假设与情景'!$H$6+I179*'02_假设与情景'!$H$7+J179*'02_假设与情景'!$H$8+K179*'02_假设与情景'!$H$9+L179*'02_假设与情景'!$H$10+M179*'02_假设与情景'!$H$11,0)</x:f>
        <x:v>9.100000000000001</x:v>
      </x:c>
      <x:c r="Q179" s="64" t="str">
        <x:f>IF(N179&lt;&gt;"PASS","不推荐-需再验证",IF(P179&gt;=8,"优先候选",IF(P179&gt;=7,"可询价","备选")))</x:f>
        <x:v>优先候选</x:v>
      </x:c>
      <x:c r="R179" s="12" t="str">
        <x:v>SRC-032, SRC-033, SRC-036</x:v>
      </x:c>
      <x:c r="S179" s="12" t="str">
        <x:v>预算代理价，不是供应商精确报价；RFQ必须锁定序列、5′/3′修饰、纯化、质控、税运、MOQ和失败重合成责任</x:v>
      </x:c>
    </x:row>
    <x:row r="180">
      <x:c r="A180" t="str">
        <x:v>ALT-175</x:v>
      </x:c>
      <x:c r="B180" t="str">
        <x:v>BOM-003</x:v>
      </x:c>
      <x:c r="C180" t="str">
        <x:v>P链（5′BHQ2/3′BHQ1，17 nt）</x:v>
      </x:c>
      <x:c r="D180" t="str">
        <x:v>P双BHQ完整构型RFQ-B</x:v>
      </x:c>
      <x:c r="E180" t="str">
        <x:v>国产双来源/同规格</x:v>
      </x:c>
      <x:c r="F180" s="51" t="n">
        <x:v>1800</x:v>
      </x:c>
      <x:c r="G180" s="51" t="n">
        <x:v>1620</x:v>
      </x:c>
      <x:c r="H180" s="60" t="n">
        <x:f>IF(G180=0,0,MIN(10,10*F180/G180))</x:f>
        <x:v>10</x:v>
      </x:c>
      <x:c r="I180" s="53" t="n">
        <x:v>9</x:v>
      </x:c>
      <x:c r="J180" s="53" t="n">
        <x:v>8</x:v>
      </x:c>
      <x:c r="K180" s="53" t="n">
        <x:v>8</x:v>
      </x:c>
      <x:c r="L180" s="53" t="n">
        <x:v>8</x:v>
      </x:c>
      <x:c r="M180" s="53" t="n">
        <x:v>6</x:v>
      </x:c>
      <x:c r="N180" s="53" t="str">
        <x:v>PASS</x:v>
      </x:c>
      <x:c r="O180" s="62" t="str">
        <x:v>需小试、三批一致性、方向与修饰端位复核</x:v>
      </x:c>
      <x:c r="P180" s="63" t="n">
        <x:f>IF(N180="PASS",H180*'02_假设与情景'!$H$6+I180*'02_假设与情景'!$H$7+J180*'02_假设与情景'!$H$8+K180*'02_假设与情景'!$H$9+L180*'02_假设与情景'!$H$10+M180*'02_假设与情景'!$H$11,0)</x:f>
        <x:v>8.65</x:v>
      </x:c>
      <x:c r="Q180" s="64" t="str">
        <x:f>IF(N180&lt;&gt;"PASS","不推荐-需再验证",IF(P180&gt;=8,"优先候选",IF(P180&gt;=7,"可询价","备选")))</x:f>
        <x:v>优先候选</x:v>
      </x:c>
      <x:c r="R180" s="12" t="str">
        <x:v>SRC-002, SRC-003, SRC-036</x:v>
      </x:c>
      <x:c r="S180" s="12" t="str">
        <x:v>预算代理价，不是供应商精确报价；RFQ必须锁定序列、5′/3′修饰、纯化、质控、税运、MOQ和失败重合成责任</x:v>
      </x:c>
    </x:row>
    <x:row r="181">
      <x:c r="A181" t="str">
        <x:v>ALT-176</x:v>
      </x:c>
      <x:c r="B181" t="str">
        <x:v>BOM-004</x:v>
      </x:c>
      <x:c r="C181" t="str">
        <x:v>C链（5′ROX/3′FAM，22 nt）</x:v>
      </x:c>
      <x:c r="D181" t="str">
        <x:v>C双荧光完整构型RFQ-A</x:v>
      </x:c>
      <x:c r="E181" t="str">
        <x:v>5′ROX/3′FAM/22 nt</x:v>
      </x:c>
      <x:c r="F181" s="51" t="n">
        <x:v>1500</x:v>
      </x:c>
      <x:c r="G181" s="51" t="n">
        <x:v>1500</x:v>
      </x:c>
      <x:c r="H181" s="60" t="n">
        <x:f>IF(G181=0,0,MIN(10,10*F181/G181))</x:f>
        <x:v>10</x:v>
      </x:c>
      <x:c r="I181" s="53" t="n">
        <x:v>9</x:v>
      </x:c>
      <x:c r="J181" s="53" t="n">
        <x:v>9</x:v>
      </x:c>
      <x:c r="K181" s="53" t="n">
        <x:v>9</x:v>
      </x:c>
      <x:c r="L181" s="53" t="n">
        <x:v>8</x:v>
      </x:c>
      <x:c r="M181" s="53" t="n">
        <x:v>8</x:v>
      </x:c>
      <x:c r="N181" s="53" t="str">
        <x:v>PASS</x:v>
      </x:c>
      <x:c r="O181" s="62" t="str">
        <x:v>需小试、三批一致性、方向与修饰端位复核</x:v>
      </x:c>
      <x:c r="P181" s="63" t="n">
        <x:f>IF(N181="PASS",H181*'02_假设与情景'!$H$6+I181*'02_假设与情景'!$H$7+J181*'02_假设与情景'!$H$8+K181*'02_假设与情景'!$H$9+L181*'02_假设与情景'!$H$10+M181*'02_假设与情景'!$H$11,0)</x:f>
        <x:v>9.100000000000001</x:v>
      </x:c>
      <x:c r="Q181" s="64" t="str">
        <x:f>IF(N181&lt;&gt;"PASS","不推荐-需再验证",IF(P181&gt;=8,"优先候选",IF(P181&gt;=7,"可询价","备选")))</x:f>
        <x:v>优先候选</x:v>
      </x:c>
      <x:c r="R181" s="12" t="str">
        <x:v>SRC-032, SRC-033, SRC-036</x:v>
      </x:c>
      <x:c r="S181" s="12" t="str">
        <x:v>预算代理价，不是供应商精确报价；RFQ必须锁定序列、5′/3′修饰、纯化、质控、税运、MOQ和失败重合成责任</x:v>
      </x:c>
    </x:row>
    <x:row r="182">
      <x:c r="A182" t="str">
        <x:v>ALT-177</x:v>
      </x:c>
      <x:c r="B182" t="str">
        <x:v>BOM-004</x:v>
      </x:c>
      <x:c r="C182" t="str">
        <x:v>C链（5′ROX/3′FAM，22 nt）</x:v>
      </x:c>
      <x:c r="D182" t="str">
        <x:v>C双荧光完整构型RFQ-B</x:v>
      </x:c>
      <x:c r="E182" t="str">
        <x:v>国产双来源/同规格</x:v>
      </x:c>
      <x:c r="F182" s="51" t="n">
        <x:v>1500</x:v>
      </x:c>
      <x:c r="G182" s="51" t="n">
        <x:v>1350</x:v>
      </x:c>
      <x:c r="H182" s="60" t="n">
        <x:f>IF(G182=0,0,MIN(10,10*F182/G182))</x:f>
        <x:v>10</x:v>
      </x:c>
      <x:c r="I182" s="53" t="n">
        <x:v>8</x:v>
      </x:c>
      <x:c r="J182" s="53" t="n">
        <x:v>8</x:v>
      </x:c>
      <x:c r="K182" s="53" t="n">
        <x:v>9</x:v>
      </x:c>
      <x:c r="L182" s="53" t="n">
        <x:v>7</x:v>
      </x:c>
      <x:c r="M182" s="53" t="n">
        <x:v>6</x:v>
      </x:c>
      <x:c r="N182" s="53" t="str">
        <x:v>PASS</x:v>
      </x:c>
      <x:c r="O182" s="62" t="str">
        <x:v>需小试、三批一致性、方向与修饰端位复核</x:v>
      </x:c>
      <x:c r="P182" s="63" t="n">
        <x:f>IF(N182="PASS",H182*'02_假设与情景'!$H$6+I182*'02_假设与情景'!$H$7+J182*'02_假设与情景'!$H$8+K182*'02_假设与情景'!$H$9+L182*'02_假设与情景'!$H$10+M182*'02_假设与情景'!$H$11,0)</x:f>
        <x:v>8.4</x:v>
      </x:c>
      <x:c r="Q182" s="64" t="str">
        <x:f>IF(N182&lt;&gt;"PASS","不推荐-需再验证",IF(P182&gt;=8,"优先候选",IF(P182&gt;=7,"可询价","备选")))</x:f>
        <x:v>优先候选</x:v>
      </x:c>
      <x:c r="R182" s="12" t="str">
        <x:v>SRC-002, SRC-003, SRC-036</x:v>
      </x:c>
      <x:c r="S182" s="12" t="str">
        <x:v>预算代理价，不是供应商精确报价；RFQ必须锁定序列、5′/3′修饰、纯化、质控、税运、MOQ和失败重合成责任</x:v>
      </x:c>
    </x:row>
    <x:row r="183">
      <x:c r="A183" t="str">
        <x:v>ALT-178</x:v>
      </x:c>
      <x:c r="B183" t="str">
        <x:v>BOM-005</x:v>
      </x:c>
      <x:c r="C183" t="str">
        <x:v>F链（5′BHQ2，17 nt）</x:v>
      </x:c>
      <x:c r="D183" t="str">
        <x:v>F单BHQ2完整构型RFQ-A</x:v>
      </x:c>
      <x:c r="E183" t="str">
        <x:v>5′BHQ2/17 nt</x:v>
      </x:c>
      <x:c r="F183" s="51" t="n">
        <x:v>900</x:v>
      </x:c>
      <x:c r="G183" s="51" t="n">
        <x:v>900</x:v>
      </x:c>
      <x:c r="H183" s="60" t="n">
        <x:f>IF(G183=0,0,MIN(10,10*F183/G183))</x:f>
        <x:v>10</x:v>
      </x:c>
      <x:c r="I183" s="53" t="n">
        <x:v>9</x:v>
      </x:c>
      <x:c r="J183" s="53" t="n">
        <x:v>9</x:v>
      </x:c>
      <x:c r="K183" s="53" t="n">
        <x:v>9</x:v>
      </x:c>
      <x:c r="L183" s="53" t="n">
        <x:v>8</x:v>
      </x:c>
      <x:c r="M183" s="53" t="n">
        <x:v>8</x:v>
      </x:c>
      <x:c r="N183" s="53" t="str">
        <x:v>PASS</x:v>
      </x:c>
      <x:c r="O183" s="62" t="str">
        <x:v>需小试、三批一致性、方向与修饰端位复核</x:v>
      </x:c>
      <x:c r="P183" s="63" t="n">
        <x:f>IF(N183="PASS",H183*'02_假设与情景'!$H$6+I183*'02_假设与情景'!$H$7+J183*'02_假设与情景'!$H$8+K183*'02_假设与情景'!$H$9+L183*'02_假设与情景'!$H$10+M183*'02_假设与情景'!$H$11,0)</x:f>
        <x:v>9.100000000000001</x:v>
      </x:c>
      <x:c r="Q183" s="64" t="str">
        <x:f>IF(N183&lt;&gt;"PASS","不推荐-需再验证",IF(P183&gt;=8,"优先候选",IF(P183&gt;=7,"可询价","备选")))</x:f>
        <x:v>优先候选</x:v>
      </x:c>
      <x:c r="R183" s="12" t="str">
        <x:v>SRC-032, SRC-033, SRC-036</x:v>
      </x:c>
      <x:c r="S183" s="12" t="str">
        <x:v>预算代理价，不是供应商精确报价；RFQ必须锁定序列、5′/3′修饰、纯化、质控、税运、MOQ和失败重合成责任</x:v>
      </x:c>
    </x:row>
    <x:row r="184">
      <x:c r="A184" t="str">
        <x:v>ALT-179</x:v>
      </x:c>
      <x:c r="B184" t="str">
        <x:v>BOM-005</x:v>
      </x:c>
      <x:c r="C184" t="str">
        <x:v>F链（5′BHQ2，17 nt）</x:v>
      </x:c>
      <x:c r="D184" t="str">
        <x:v>F单BHQ2完整构型RFQ-B</x:v>
      </x:c>
      <x:c r="E184" t="str">
        <x:v>国产双来源/同规格</x:v>
      </x:c>
      <x:c r="F184" s="51" t="n">
        <x:v>900</x:v>
      </x:c>
      <x:c r="G184" s="51" t="n">
        <x:v>810</x:v>
      </x:c>
      <x:c r="H184" s="60" t="n">
        <x:f>IF(G184=0,0,MIN(10,10*F184/G184))</x:f>
        <x:v>10</x:v>
      </x:c>
      <x:c r="I184" s="53" t="n">
        <x:v>8</x:v>
      </x:c>
      <x:c r="J184" s="53" t="n">
        <x:v>8</x:v>
      </x:c>
      <x:c r="K184" s="53" t="n">
        <x:v>8</x:v>
      </x:c>
      <x:c r="L184" s="53" t="n">
        <x:v>7</x:v>
      </x:c>
      <x:c r="M184" s="53" t="n">
        <x:v>6</x:v>
      </x:c>
      <x:c r="N184" s="53" t="str">
        <x:v>PASS</x:v>
      </x:c>
      <x:c r="O184" s="62" t="str">
        <x:v>需小试、三批一致性、方向与修饰端位复核</x:v>
      </x:c>
      <x:c r="P184" s="63" t="n">
        <x:f>IF(N184="PASS",H184*'02_假设与情景'!$H$6+I184*'02_假设与情景'!$H$7+J184*'02_假设与情景'!$H$8+K184*'02_假设与情景'!$H$9+L184*'02_假设与情景'!$H$10+M184*'02_假设与情景'!$H$11,0)</x:f>
        <x:v>8.3</x:v>
      </x:c>
      <x:c r="Q184" s="64" t="str">
        <x:f>IF(N184&lt;&gt;"PASS","不推荐-需再验证",IF(P184&gt;=8,"优先候选",IF(P184&gt;=7,"可询价","备选")))</x:f>
        <x:v>优先候选</x:v>
      </x:c>
      <x:c r="R184" s="12" t="str">
        <x:v>SRC-002, SRC-003, SRC-036</x:v>
      </x:c>
      <x:c r="S184" s="12" t="str">
        <x:v>预算代理价，不是供应商精确报价；RFQ必须锁定序列、5′/3′修饰、纯化、质控、税运、MOQ和失败重合成责任</x:v>
      </x:c>
    </x:row>
    <x:row r="185">
      <x:c r="A185" t="str">
        <x:v>ALT-180</x:v>
      </x:c>
      <x:c r="B185" t="str">
        <x:v>BOM-006</x:v>
      </x:c>
      <x:c r="C185" t="str">
        <x:v>旧竞争C/封闭C拆分占位（废止）</x:v>
      </x:c>
      <x:c r="D185" t="str">
        <x:v>旧第六链-禁止采购</x:v>
      </x:c>
      <x:c r="E185" t="str">
        <x:v>deprecated</x:v>
      </x:c>
      <x:c r="F185" s="51" t="n">
        <x:v>0</x:v>
      </x:c>
      <x:c r="G185" s="51" t="n">
        <x:v>0</x:v>
      </x:c>
      <x:c r="H185" s="60" t="n">
        <x:f>IF(G185=0,0,MIN(10,10*F185/G185))</x:f>
        <x:v>0</x:v>
      </x:c>
      <x:c r="I185" s="53" t="n">
        <x:v>0</x:v>
      </x:c>
      <x:c r="J185" s="53" t="n">
        <x:v>0</x:v>
      </x:c>
      <x:c r="K185" s="53" t="n">
        <x:v>0</x:v>
      </x:c>
      <x:c r="L185" s="53" t="n">
        <x:v>0</x:v>
      </x:c>
      <x:c r="M185" s="53" t="n">
        <x:v>10</x:v>
      </x:c>
      <x:c r="N185" s="53" t="str">
        <x:v>REVALIDATE</x:v>
      </x:c>
      <x:c r="O185" s="62" t="str">
        <x:v>仅当正式变更最终分子设计并完成验证后方可启用</x:v>
      </x:c>
      <x:c r="P185" s="63" t="n">
        <x:f>IF(N185="PASS",H185*'02_假设与情景'!$H$6+I185*'02_假设与情景'!$H$7+J185*'02_假设与情景'!$H$8+K185*'02_假设与情景'!$H$9+L185*'02_假设与情景'!$H$10+M185*'02_假设与情景'!$H$11,0)</x:f>
        <x:v>0</x:v>
      </x:c>
      <x:c r="Q185" s="64" t="str">
        <x:f>IF(N185&lt;&gt;"PASS","不推荐-需再验证",IF(P185&gt;=8,"优先候选",IF(P185&gt;=7,"可询价","备选")))</x:f>
        <x:v>不推荐-需再验证</x:v>
      </x:c>
      <x:c r="R185" s="12" t="str">
        <x:v>SRC-001</x:v>
      </x:c>
      <x:c r="S185" s="12" t="str">
        <x:v>最终设计只有5条物理链；本行是冲突审计记录，不得采购</x:v>
      </x:c>
    </x:row>
    <x:row r="186">
      <x:c r="A186" t="str">
        <x:v>ALT-181</x:v>
      </x:c>
      <x:c r="B186" t="str">
        <x:v>BOM-006</x:v>
      </x:c>
      <x:c r="C186" t="str">
        <x:v>旧竞争C/封闭C拆分占位（废止）</x:v>
      </x:c>
      <x:c r="D186" t="str">
        <x:v>旧第六链-零成本占位</x:v>
      </x:c>
      <x:c r="E186" t="str">
        <x:v>deprecated</x:v>
      </x:c>
      <x:c r="F186" s="51" t="n">
        <x:v>0</x:v>
      </x:c>
      <x:c r="G186" s="51" t="n">
        <x:v>0</x:v>
      </x:c>
      <x:c r="H186" s="60" t="n">
        <x:f>IF(G186=0,0,MIN(10,10*F186/G186))</x:f>
        <x:v>0</x:v>
      </x:c>
      <x:c r="I186" s="53" t="n">
        <x:v>0</x:v>
      </x:c>
      <x:c r="J186" s="53" t="n">
        <x:v>0</x:v>
      </x:c>
      <x:c r="K186" s="53" t="n">
        <x:v>0</x:v>
      </x:c>
      <x:c r="L186" s="53" t="n">
        <x:v>0</x:v>
      </x:c>
      <x:c r="M186" s="53" t="n">
        <x:v>10</x:v>
      </x:c>
      <x:c r="N186" s="53" t="str">
        <x:v>REVALIDATE</x:v>
      </x:c>
      <x:c r="O186" s="62" t="str">
        <x:v>仅当正式变更最终分子设计并完成验证后方可启用</x:v>
      </x:c>
      <x:c r="P186" s="63" t="n">
        <x:f>IF(N186="PASS",H186*'02_假设与情景'!$H$6+I186*'02_假设与情景'!$H$7+J186*'02_假设与情景'!$H$8+K186*'02_假设与情景'!$H$9+L186*'02_假设与情景'!$H$10+M186*'02_假设与情景'!$H$11,0)</x:f>
        <x:v>0</x:v>
      </x:c>
      <x:c r="Q186" s="64" t="str">
        <x:f>IF(N186&lt;&gt;"PASS","不推荐-需再验证",IF(P186&gt;=8,"优先候选",IF(P186&gt;=7,"可询价","备选")))</x:f>
        <x:v>不推荐-需再验证</x:v>
      </x:c>
      <x:c r="R186" s="12" t="str">
        <x:v>SRC-001</x:v>
      </x:c>
      <x:c r="S186" s="12" t="str">
        <x:v>数量、价格和金额必须保持0；用于检查旧6链逻辑未进入成本</x:v>
      </x:c>
    </x:row>
    <x:row r="187">
      <x:c r="A187" t="str">
        <x:v>ALT-182</x:v>
      </x:c>
      <x:c r="B187" t="str">
        <x:v>BOM-007</x:v>
      </x:c>
      <x:c r="C187" t="str">
        <x:v>BRAF野生型质粒对照库（年度批）</x:v>
      </x:c>
      <x:c r="D187" t="str">
        <x:v>义翘神州BRAF野生质粒</x:v>
      </x:c>
      <x:c r="E187" t="str">
        <x:v>Sino Biological</x:v>
      </x:c>
      <x:c r="F187" s="51" t="n">
        <x:v>48000</x:v>
      </x:c>
      <x:c r="G187" s="51" t="n">
        <x:v>48000</x:v>
      </x:c>
      <x:c r="H187" s="60" t="n">
        <x:f>IF(G187=0,0,MIN(10,10*F187/G187))</x:f>
        <x:v>10</x:v>
      </x:c>
      <x:c r="I187" s="53" t="n">
        <x:v>9</x:v>
      </x:c>
      <x:c r="J187" s="53" t="n">
        <x:v>9</x:v>
      </x:c>
      <x:c r="K187" s="53" t="n">
        <x:v>8</x:v>
      </x:c>
      <x:c r="L187" s="53" t="n">
        <x:v>8</x:v>
      </x:c>
      <x:c r="M187" s="53" t="n">
        <x:v>5</x:v>
      </x:c>
      <x:c r="N187" s="53" t="str">
        <x:v>PASS</x:v>
      </x:c>
      <x:c r="O187" s="62" t="str">
        <x:v>需小试、三批一致性和性能再验证</x:v>
      </x:c>
      <x:c r="P187" s="63" t="n">
        <x:f>IF(N187="PASS",H187*'02_假设与情景'!$H$6+I187*'02_假设与情景'!$H$7+J187*'02_假设与情景'!$H$8+K187*'02_假设与情景'!$H$9+L187*'02_假设与情景'!$H$10+M187*'02_假设与情景'!$H$11,0)</x:f>
        <x:v>8.7</x:v>
      </x:c>
      <x:c r="Q187" s="64" t="str">
        <x:f>IF(N187&lt;&gt;"PASS","不推荐-需再验证",IF(P187&gt;=8,"优先候选",IF(P187&gt;=7,"可询价","备选")))</x:f>
        <x:v>优先候选</x:v>
      </x:c>
      <x:c r="R187" s="12" t="str">
        <x:v>SRC-031</x:v>
      </x:c>
      <x:c r="S187" s="12" t="str">
        <x:v>年度定制/扩增批预算代理；需统一载体、序列确认、浓度标定、COA、留样和重制责任后RFQ</x:v>
      </x:c>
    </x:row>
    <x:row r="188">
      <x:c r="A188" t="str">
        <x:v>ALT-183</x:v>
      </x:c>
      <x:c r="B188" t="str">
        <x:v>BOM-007</x:v>
      </x:c>
      <x:c r="C188" t="str">
        <x:v>BRAF野生型质粒对照库（年度批）</x:v>
      </x:c>
      <x:c r="D188" t="str">
        <x:v>康为世纪定制质粒</x:v>
      </x:c>
      <x:c r="E188" t="str">
        <x:v>CWBio</x:v>
      </x:c>
      <x:c r="F188" s="51" t="n">
        <x:v>48000</x:v>
      </x:c>
      <x:c r="G188" s="51" t="n">
        <x:v>52000</x:v>
      </x:c>
      <x:c r="H188" s="60" t="n">
        <x:f>IF(G188=0,0,MIN(10,10*F188/G188))</x:f>
        <x:v>9.23076923076923</x:v>
      </x:c>
      <x:c r="I188" s="53" t="n">
        <x:v>8</x:v>
      </x:c>
      <x:c r="J188" s="53" t="n">
        <x:v>8</x:v>
      </x:c>
      <x:c r="K188" s="53" t="n">
        <x:v>9</x:v>
      </x:c>
      <x:c r="L188" s="53" t="n">
        <x:v>7</x:v>
      </x:c>
      <x:c r="M188" s="53" t="n">
        <x:v>4</x:v>
      </x:c>
      <x:c r="N188" s="53" t="str">
        <x:v>PASS</x:v>
      </x:c>
      <x:c r="O188" s="62" t="str">
        <x:v>需小试、三批一致性和性能再验证</x:v>
      </x:c>
      <x:c r="P188" s="63" t="n">
        <x:f>IF(N188="PASS",H188*'02_假设与情景'!$H$6+I188*'02_假设与情景'!$H$7+J188*'02_假设与情景'!$H$8+K188*'02_假设与情景'!$H$9+L188*'02_假设与情景'!$H$10+M188*'02_假设与情景'!$H$11,0)</x:f>
        <x:v>7.969230769230769</x:v>
      </x:c>
      <x:c r="Q188" s="64" t="str">
        <x:f>IF(N188&lt;&gt;"PASS","不推荐-需再验证",IF(P188&gt;=8,"优先候选",IF(P188&gt;=7,"可询价","备选")))</x:f>
        <x:v>可询价</x:v>
      </x:c>
      <x:c r="R188" s="12" t="str">
        <x:v>SRC-031</x:v>
      </x:c>
      <x:c r="S188" s="12" t="str">
        <x:v>年度定制/扩增批预算代理；需统一载体、序列确认、浓度标定、COA、留样和重制责任后RFQ</x:v>
      </x:c>
    </x:row>
    <x:row r="189">
      <x:c r="A189" t="str">
        <x:v>ALT-184</x:v>
      </x:c>
      <x:c r="B189" t="str">
        <x:v>BOM-008</x:v>
      </x:c>
      <x:c r="C189" t="str">
        <x:v>BRAF V600E突变质粒对照库（年度批）</x:v>
      </x:c>
      <x:c r="D189" t="str">
        <x:v>义翘神州BRAF V600E质粒</x:v>
      </x:c>
      <x:c r="E189" t="str">
        <x:v>Sino Biological</x:v>
      </x:c>
      <x:c r="F189" s="51" t="n">
        <x:v>48000</x:v>
      </x:c>
      <x:c r="G189" s="51" t="n">
        <x:v>48000</x:v>
      </x:c>
      <x:c r="H189" s="60" t="n">
        <x:f>IF(G189=0,0,MIN(10,10*F189/G189))</x:f>
        <x:v>10</x:v>
      </x:c>
      <x:c r="I189" s="53" t="n">
        <x:v>9</x:v>
      </x:c>
      <x:c r="J189" s="53" t="n">
        <x:v>9</x:v>
      </x:c>
      <x:c r="K189" s="53" t="n">
        <x:v>8</x:v>
      </x:c>
      <x:c r="L189" s="53" t="n">
        <x:v>8</x:v>
      </x:c>
      <x:c r="M189" s="53" t="n">
        <x:v>5</x:v>
      </x:c>
      <x:c r="N189" s="53" t="str">
        <x:v>PASS</x:v>
      </x:c>
      <x:c r="O189" s="62" t="str">
        <x:v>需小试、三批一致性和性能再验证</x:v>
      </x:c>
      <x:c r="P189" s="63" t="n">
        <x:f>IF(N189="PASS",H189*'02_假设与情景'!$H$6+I189*'02_假设与情景'!$H$7+J189*'02_假设与情景'!$H$8+K189*'02_假设与情景'!$H$9+L189*'02_假设与情景'!$H$10+M189*'02_假设与情景'!$H$11,0)</x:f>
        <x:v>8.7</x:v>
      </x:c>
      <x:c r="Q189" s="64" t="str">
        <x:f>IF(N189&lt;&gt;"PASS","不推荐-需再验证",IF(P189&gt;=8,"优先候选",IF(P189&gt;=7,"可询价","备选")))</x:f>
        <x:v>优先候选</x:v>
      </x:c>
      <x:c r="R189" s="12" t="str">
        <x:v>SRC-031</x:v>
      </x:c>
      <x:c r="S189" s="12" t="str">
        <x:v>年度定制/扩增批预算代理；需统一载体、序列确认、浓度标定、COA、留样和重制责任后RFQ</x:v>
      </x:c>
    </x:row>
    <x:row r="190">
      <x:c r="A190" t="str">
        <x:v>ALT-185</x:v>
      </x:c>
      <x:c r="B190" t="str">
        <x:v>BOM-008</x:v>
      </x:c>
      <x:c r="C190" t="str">
        <x:v>BRAF V600E突变质粒对照库（年度批）</x:v>
      </x:c>
      <x:c r="D190" t="str">
        <x:v>金唯智定制突变质粒</x:v>
      </x:c>
      <x:c r="E190" t="str">
        <x:v>GENEWIZ</x:v>
      </x:c>
      <x:c r="F190" s="51" t="n">
        <x:v>48000</x:v>
      </x:c>
      <x:c r="G190" s="51" t="n">
        <x:v>52000</x:v>
      </x:c>
      <x:c r="H190" s="60" t="n">
        <x:f>IF(G190=0,0,MIN(10,10*F190/G190))</x:f>
        <x:v>9.23076923076923</x:v>
      </x:c>
      <x:c r="I190" s="53" t="n">
        <x:v>9</x:v>
      </x:c>
      <x:c r="J190" s="53" t="n">
        <x:v>9</x:v>
      </x:c>
      <x:c r="K190" s="53" t="n">
        <x:v>8</x:v>
      </x:c>
      <x:c r="L190" s="53" t="n">
        <x:v>9</x:v>
      </x:c>
      <x:c r="M190" s="53" t="n">
        <x:v>5</x:v>
      </x:c>
      <x:c r="N190" s="53" t="str">
        <x:v>PASS</x:v>
      </x:c>
      <x:c r="O190" s="62" t="str">
        <x:v>需小试、三批一致性和性能再验证</x:v>
      </x:c>
      <x:c r="P190" s="63" t="n">
        <x:f>IF(N190="PASS",H190*'02_假设与情景'!$H$6+I190*'02_假设与情景'!$H$7+J190*'02_假设与情景'!$H$8+K190*'02_假设与情景'!$H$9+L190*'02_假设与情景'!$H$10+M190*'02_假设与情景'!$H$11,0)</x:f>
        <x:v>8.569230769230767</x:v>
      </x:c>
      <x:c r="Q190" s="64" t="str">
        <x:f>IF(N190&lt;&gt;"PASS","不推荐-需再验证",IF(P190&gt;=8,"优先候选",IF(P190&gt;=7,"可询价","备选")))</x:f>
        <x:v>优先候选</x:v>
      </x:c>
      <x:c r="R190" s="12" t="str">
        <x:v>SRC-031</x:v>
      </x:c>
      <x:c r="S190" s="12" t="str">
        <x:v>年度定制/扩增批预算代理；需统一载体、序列确认、浓度标定、COA、留样和重制责任后RFQ</x:v>
      </x:c>
    </x:row>
    <x:row r="191">
      <x:c r="A191" t="str">
        <x:v>ALT-186</x:v>
      </x:c>
      <x:c r="B191" t="str">
        <x:v>BOM-009</x:v>
      </x:c>
      <x:c r="C191" t="str">
        <x:v>热启动Taq DNA聚合酶</x:v>
      </x:c>
      <x:c r="D191" t="str">
        <x:v>翌圣HotStart Taq</x:v>
      </x:c>
      <x:c r="E191" t="str">
        <x:v>Yeasen</x:v>
      </x:c>
      <x:c r="F191" s="51" t="n">
        <x:v>650</x:v>
      </x:c>
      <x:c r="G191" s="51" t="n">
        <x:v>650</x:v>
      </x:c>
      <x:c r="H191" s="60" t="n">
        <x:f>IF(G191=0,0,MIN(10,10*F191/G191))</x:f>
        <x:v>10</x:v>
      </x:c>
      <x:c r="I191" s="53" t="n">
        <x:v>8</x:v>
      </x:c>
      <x:c r="J191" s="53" t="n">
        <x:v>9</x:v>
      </x:c>
      <x:c r="K191" s="53" t="n">
        <x:v>9</x:v>
      </x:c>
      <x:c r="L191" s="53" t="n">
        <x:v>8</x:v>
      </x:c>
      <x:c r="M191" s="53" t="n">
        <x:v>6</x:v>
      </x:c>
      <x:c r="N191" s="53" t="str">
        <x:v>PASS</x:v>
      </x:c>
      <x:c r="O191" s="62" t="str">
        <x:v>需小试、三批一致性和性能再验证</x:v>
      </x:c>
      <x:c r="P191" s="63" t="n">
        <x:f>IF(N191="PASS",H191*'02_假设与情景'!$H$6+I191*'02_假设与情景'!$H$7+J191*'02_假设与情景'!$H$8+K191*'02_假设与情景'!$H$9+L191*'02_假设与情景'!$H$10+M191*'02_假设与情景'!$H$11,0)</x:f>
        <x:v>8.65</x:v>
      </x:c>
      <x:c r="Q191" s="64" t="str">
        <x:f>IF(N191&lt;&gt;"PASS","不推荐-需再验证",IF(P191&gt;=8,"优先候选",IF(P191&gt;=7,"可询价","备选")))</x:f>
        <x:v>优先候选</x:v>
      </x:c>
      <x:c r="R191" s="12" t="str">
        <x:v>SRC-007</x:v>
      </x:c>
      <x:c r="S191" s="12" t="str">
        <x:v>进入同规格询价和总拥有成本比较</x:v>
      </x:c>
    </x:row>
    <x:row r="192">
      <x:c r="A192" t="str">
        <x:v>ALT-187</x:v>
      </x:c>
      <x:c r="B192" t="str">
        <x:v>BOM-009</x:v>
      </x:c>
      <x:c r="C192" t="str">
        <x:v>热启动Taq DNA聚合酶</x:v>
      </x:c>
      <x:c r="D192" t="str">
        <x:v>诺唯赞热启动Taq</x:v>
      </x:c>
      <x:c r="E192" t="str">
        <x:v>Vazyme</x:v>
      </x:c>
      <x:c r="F192" s="51" t="n">
        <x:v>650</x:v>
      </x:c>
      <x:c r="G192" s="51" t="n">
        <x:v>682.5</x:v>
      </x:c>
      <x:c r="H192" s="60" t="n">
        <x:f>IF(G192=0,0,MIN(10,10*F192/G192))</x:f>
        <x:v>9.523809523809524</x:v>
      </x:c>
      <x:c r="I192" s="53" t="n">
        <x:v>9</x:v>
      </x:c>
      <x:c r="J192" s="53" t="n">
        <x:v>9</x:v>
      </x:c>
      <x:c r="K192" s="53" t="n">
        <x:v>9</x:v>
      </x:c>
      <x:c r="L192" s="53" t="n">
        <x:v>9</x:v>
      </x:c>
      <x:c r="M192" s="53" t="n">
        <x:v>6</x:v>
      </x:c>
      <x:c r="N192" s="53" t="str">
        <x:v>PASS</x:v>
      </x:c>
      <x:c r="O192" s="62" t="str">
        <x:v>需小试、三批一致性和性能再验证</x:v>
      </x:c>
      <x:c r="P192" s="63" t="n">
        <x:f>IF(N192="PASS",H192*'02_假设与情景'!$H$6+I192*'02_假设与情景'!$H$7+J192*'02_假设与情景'!$H$8+K192*'02_假设与情景'!$H$9+L192*'02_假设与情景'!$H$10+M192*'02_假设与情景'!$H$11,0)</x:f>
        <x:v>8.857142857142858</x:v>
      </x:c>
      <x:c r="Q192" s="64" t="str">
        <x:f>IF(N192&lt;&gt;"PASS","不推荐-需再验证",IF(P192&gt;=8,"优先候选",IF(P192&gt;=7,"可询价","备选")))</x:f>
        <x:v>优先候选</x:v>
      </x:c>
      <x:c r="R192" s="12" t="str">
        <x:v>SRC-007</x:v>
      </x:c>
      <x:c r="S192" s="12" t="str">
        <x:v>进入同规格询价和总拥有成本比较</x:v>
      </x:c>
    </x:row>
    <x:row r="193">
      <x:c r="A193" t="str">
        <x:v>ALT-188</x:v>
      </x:c>
      <x:c r="B193" t="str">
        <x:v>BOM-009</x:v>
      </x:c>
      <x:c r="C193" t="str">
        <x:v>热启动Taq DNA聚合酶</x:v>
      </x:c>
      <x:c r="D193" t="str">
        <x:v>Genstar热启动Taq</x:v>
      </x:c>
      <x:c r="E193" t="str">
        <x:v>Genstar</x:v>
      </x:c>
      <x:c r="F193" s="51" t="n">
        <x:v>650</x:v>
      </x:c>
      <x:c r="G193" s="51" t="n">
        <x:v>533</x:v>
      </x:c>
      <x:c r="H193" s="60" t="n">
        <x:f>IF(G193=0,0,MIN(10,10*F193/G193))</x:f>
        <x:v>10</x:v>
      </x:c>
      <x:c r="I193" s="53" t="n">
        <x:v>7</x:v>
      </x:c>
      <x:c r="J193" s="53" t="n">
        <x:v>7</x:v>
      </x:c>
      <x:c r="K193" s="53" t="n">
        <x:v>8</x:v>
      </x:c>
      <x:c r="L193" s="53" t="n">
        <x:v>6</x:v>
      </x:c>
      <x:c r="M193" s="53" t="n">
        <x:v>4</x:v>
      </x:c>
      <x:c r="N193" s="53" t="str">
        <x:v>REVALIDATE</x:v>
      </x:c>
      <x:c r="O193" s="62" t="str">
        <x:v>需小试、三批一致性和性能再验证</x:v>
      </x:c>
      <x:c r="P193" s="63" t="n">
        <x:f>IF(N193="PASS",H193*'02_假设与情景'!$H$6+I193*'02_假设与情景'!$H$7+J193*'02_假设与情景'!$H$8+K193*'02_假设与情景'!$H$9+L193*'02_假设与情景'!$H$10+M193*'02_假设与情景'!$H$11,0)</x:f>
        <x:v>0</x:v>
      </x:c>
      <x:c r="Q193" s="64" t="str">
        <x:f>IF(N193&lt;&gt;"PASS","不推荐-需再验证",IF(P193&gt;=8,"优先候选",IF(P193&gt;=7,"可询价","备选")))</x:f>
        <x:v>不推荐-需再验证</x:v>
      </x:c>
      <x:c r="R193" s="12" t="str">
        <x:v>SRC-007</x:v>
      </x:c>
      <x:c r="S193" s="12" t="str">
        <x:v>价格可能更低，但质量或兼容性门槛未满足</x:v>
      </x:c>
    </x:row>
    <x:row r="194">
      <x:c r="A194" t="str">
        <x:v>ALT-189</x:v>
      </x:c>
      <x:c r="B194" t="str">
        <x:v>BOM-010</x:v>
      </x:c>
      <x:c r="C194" t="str">
        <x:v>高纯dNTP混合液</x:v>
      </x:c>
      <x:c r="D194" t="str">
        <x:v>诺唯赞P031 dNTP Mix</x:v>
      </x:c>
      <x:c r="E194" t="str">
        <x:v>Vazyme</x:v>
      </x:c>
      <x:c r="F194" s="51" t="n">
        <x:v>450</x:v>
      </x:c>
      <x:c r="G194" s="51" t="n">
        <x:v>450</x:v>
      </x:c>
      <x:c r="H194" s="60" t="n">
        <x:f>IF(G194=0,0,MIN(10,10*F194/G194))</x:f>
        <x:v>10</x:v>
      </x:c>
      <x:c r="I194" s="53" t="n">
        <x:v>9</x:v>
      </x:c>
      <x:c r="J194" s="53" t="n">
        <x:v>9</x:v>
      </x:c>
      <x:c r="K194" s="53" t="n">
        <x:v>9</x:v>
      </x:c>
      <x:c r="L194" s="53" t="n">
        <x:v>8</x:v>
      </x:c>
      <x:c r="M194" s="53" t="n">
        <x:v>6</x:v>
      </x:c>
      <x:c r="N194" s="53" t="str">
        <x:v>PASS</x:v>
      </x:c>
      <x:c r="O194" s="62" t="str">
        <x:v>需小试、三批一致性和性能再验证</x:v>
      </x:c>
      <x:c r="P194" s="63" t="n">
        <x:f>IF(N194="PASS",H194*'02_假设与情景'!$H$6+I194*'02_假设与情景'!$H$7+J194*'02_假设与情景'!$H$8+K194*'02_假设与情景'!$H$9+L194*'02_假设与情景'!$H$10+M194*'02_假设与情景'!$H$11,0)</x:f>
        <x:v>8.9</x:v>
      </x:c>
      <x:c r="Q194" s="64" t="str">
        <x:f>IF(N194&lt;&gt;"PASS","不推荐-需再验证",IF(P194&gt;=8,"优先候选",IF(P194&gt;=7,"可询价","备选")))</x:f>
        <x:v>优先候选</x:v>
      </x:c>
      <x:c r="R194" s="12" t="str">
        <x:v>SRC-008, SRC-030</x:v>
      </x:c>
      <x:c r="S194" s="12" t="str">
        <x:v>进入同规格询价和总拥有成本比较</x:v>
      </x:c>
    </x:row>
    <x:row r="195">
      <x:c r="A195" t="str">
        <x:v>ALT-190</x:v>
      </x:c>
      <x:c r="B195" t="str">
        <x:v>BOM-010</x:v>
      </x:c>
      <x:c r="C195" t="str">
        <x:v>高纯dNTP混合液</x:v>
      </x:c>
      <x:c r="D195" t="str">
        <x:v>翌圣10124 dNTP Mix</x:v>
      </x:c>
      <x:c r="E195" t="str">
        <x:v>Yeasen</x:v>
      </x:c>
      <x:c r="F195" s="51" t="n">
        <x:v>450</x:v>
      </x:c>
      <x:c r="G195" s="51" t="n">
        <x:v>427.5</x:v>
      </x:c>
      <x:c r="H195" s="60" t="n">
        <x:f>IF(G195=0,0,MIN(10,10*F195/G195))</x:f>
        <x:v>10</x:v>
      </x:c>
      <x:c r="I195" s="53" t="n">
        <x:v>8</x:v>
      </x:c>
      <x:c r="J195" s="53" t="n">
        <x:v>9</x:v>
      </x:c>
      <x:c r="K195" s="53" t="n">
        <x:v>9</x:v>
      </x:c>
      <x:c r="L195" s="53" t="n">
        <x:v>8</x:v>
      </x:c>
      <x:c r="M195" s="53" t="n">
        <x:v>5</x:v>
      </x:c>
      <x:c r="N195" s="53" t="str">
        <x:v>PASS</x:v>
      </x:c>
      <x:c r="O195" s="62" t="str">
        <x:v>需小试、三批一致性和性能再验证</x:v>
      </x:c>
      <x:c r="P195" s="63" t="n">
        <x:f>IF(N195="PASS",H195*'02_假设与情景'!$H$6+I195*'02_假设与情景'!$H$7+J195*'02_假设与情景'!$H$8+K195*'02_假设与情景'!$H$9+L195*'02_假设与情景'!$H$10+M195*'02_假设与情景'!$H$11,0)</x:f>
        <x:v>8.55</x:v>
      </x:c>
      <x:c r="Q195" s="64" t="str">
        <x:f>IF(N195&lt;&gt;"PASS","不推荐-需再验证",IF(P195&gt;=8,"优先候选",IF(P195&gt;=7,"可询价","备选")))</x:f>
        <x:v>优先候选</x:v>
      </x:c>
      <x:c r="R195" s="12" t="str">
        <x:v>SRC-008, SRC-030</x:v>
      </x:c>
      <x:c r="S195" s="12" t="str">
        <x:v>进入同规格询价和总拥有成本比较</x:v>
      </x:c>
    </x:row>
    <x:row r="196">
      <x:c r="A196" t="str">
        <x:v>ALT-191</x:v>
      </x:c>
      <x:c r="B196" t="str">
        <x:v>BOM-010</x:v>
      </x:c>
      <x:c r="C196" t="str">
        <x:v>高纯dNTP混合液</x:v>
      </x:c>
      <x:c r="D196" t="str">
        <x:v>Thermo R0192 dNTP Mix</x:v>
      </x:c>
      <x:c r="E196" t="str">
        <x:v>Thermo Fisher</x:v>
      </x:c>
      <x:c r="F196" s="51" t="n">
        <x:v>450</x:v>
      </x:c>
      <x:c r="G196" s="51" t="n">
        <x:v>652.5</x:v>
      </x:c>
      <x:c r="H196" s="60" t="n">
        <x:f>IF(G196=0,0,MIN(10,10*F196/G196))</x:f>
        <x:v>6.896551724137931</x:v>
      </x:c>
      <x:c r="I196" s="53" t="n">
        <x:v>9</x:v>
      </x:c>
      <x:c r="J196" s="53" t="n">
        <x:v>9</x:v>
      </x:c>
      <x:c r="K196" s="53" t="n">
        <x:v>8</x:v>
      </x:c>
      <x:c r="L196" s="53" t="n">
        <x:v>9</x:v>
      </x:c>
      <x:c r="M196" s="53" t="n">
        <x:v>6</x:v>
      </x:c>
      <x:c r="N196" s="53" t="str">
        <x:v>PASS</x:v>
      </x:c>
      <x:c r="O196" s="62" t="str">
        <x:v>需小试、三批一致性和性能再验证</x:v>
      </x:c>
      <x:c r="P196" s="63" t="n">
        <x:f>IF(N196="PASS",H196*'02_假设与情景'!$H$6+I196*'02_假设与情景'!$H$7+J196*'02_假设与情景'!$H$8+K196*'02_假设与情景'!$H$9+L196*'02_假设与情景'!$H$10+M196*'02_假设与情景'!$H$11,0)</x:f>
        <x:v>7.968965517241379</x:v>
      </x:c>
      <x:c r="Q196" s="64" t="str">
        <x:f>IF(N196&lt;&gt;"PASS","不推荐-需再验证",IF(P196&gt;=8,"优先候选",IF(P196&gt;=7,"可询价","备选")))</x:f>
        <x:v>可询价</x:v>
      </x:c>
      <x:c r="R196" s="12" t="str">
        <x:v>SRC-008, SRC-030</x:v>
      </x:c>
      <x:c r="S196" s="12" t="str">
        <x:v>进入同规格询价和总拥有成本比较</x:v>
      </x:c>
    </x:row>
    <x:row r="197">
      <x:c r="A197" t="str">
        <x:v>ALT-192</x:v>
      </x:c>
      <x:c r="B197" t="str">
        <x:v>BOM-011</x:v>
      </x:c>
      <x:c r="C197" t="str">
        <x:v>Tris-base高纯级</x:v>
      </x:c>
      <x:c r="D197" t="str">
        <x:v>Merck分子生物学级Tris</x:v>
      </x:c>
      <x:c r="E197" t="str">
        <x:v>Merck</x:v>
      </x:c>
      <x:c r="F197" s="51" t="n">
        <x:v>250</x:v>
      </x:c>
      <x:c r="G197" s="51" t="n">
        <x:v>250</x:v>
      </x:c>
      <x:c r="H197" s="60" t="n">
        <x:f>IF(G197=0,0,MIN(10,10*F197/G197))</x:f>
        <x:v>10</x:v>
      </x:c>
      <x:c r="I197" s="53" t="n">
        <x:v>9</x:v>
      </x:c>
      <x:c r="J197" s="53" t="n">
        <x:v>9</x:v>
      </x:c>
      <x:c r="K197" s="53" t="n">
        <x:v>8</x:v>
      </x:c>
      <x:c r="L197" s="53" t="n">
        <x:v>9</x:v>
      </x:c>
      <x:c r="M197" s="53" t="n">
        <x:v>6</x:v>
      </x:c>
      <x:c r="N197" s="53" t="str">
        <x:v>PASS</x:v>
      </x:c>
      <x:c r="O197" s="62" t="str">
        <x:v>需核对规格、税费、安装和售后边界</x:v>
      </x:c>
      <x:c r="P197" s="63" t="n">
        <x:f>IF(N197="PASS",H197*'02_假设与情景'!$H$6+I197*'02_假设与情景'!$H$7+J197*'02_假设与情景'!$H$8+K197*'02_假设与情景'!$H$9+L197*'02_假设与情景'!$H$10+M197*'02_假设与情景'!$H$11,0)</x:f>
        <x:v>8.899999999999999</x:v>
      </x:c>
      <x:c r="Q197" s="64" t="str">
        <x:f>IF(N197&lt;&gt;"PASS","不推荐-需再验证",IF(P197&gt;=8,"优先候选",IF(P197&gt;=7,"可询价","备选")))</x:f>
        <x:v>优先候选</x:v>
      </x:c>
      <x:c r="R197" s="12" t="str">
        <x:v>SRC-029</x:v>
      </x:c>
      <x:c r="S197" s="12" t="str">
        <x:v>进入同规格询价和总拥有成本比较</x:v>
      </x:c>
    </x:row>
    <x:row r="198">
      <x:c r="A198" t="str">
        <x:v>ALT-193</x:v>
      </x:c>
      <x:c r="B198" t="str">
        <x:v>BOM-011</x:v>
      </x:c>
      <x:c r="C198" t="str">
        <x:v>Tris-base高纯级</x:v>
      </x:c>
      <x:c r="D198" t="str">
        <x:v>国药GR级Tris</x:v>
      </x:c>
      <x:c r="E198" t="str">
        <x:v>Sinopharm</x:v>
      </x:c>
      <x:c r="F198" s="51" t="n">
        <x:v>250</x:v>
      </x:c>
      <x:c r="G198" s="51" t="n">
        <x:v>87.5</x:v>
      </x:c>
      <x:c r="H198" s="60" t="n">
        <x:f>IF(G198=0,0,MIN(10,10*F198/G198))</x:f>
        <x:v>10</x:v>
      </x:c>
      <x:c r="I198" s="53" t="n">
        <x:v>7</x:v>
      </x:c>
      <x:c r="J198" s="53" t="n">
        <x:v>7</x:v>
      </x:c>
      <x:c r="K198" s="53" t="n">
        <x:v>9</x:v>
      </x:c>
      <x:c r="L198" s="53" t="n">
        <x:v>7</x:v>
      </x:c>
      <x:c r="M198" s="53" t="n">
        <x:v>4</x:v>
      </x:c>
      <x:c r="N198" s="53" t="str">
        <x:v>PASS</x:v>
      </x:c>
      <x:c r="O198" s="62" t="str">
        <x:v>需核对规格、税费、安装和售后边界</x:v>
      </x:c>
      <x:c r="P198" s="63" t="n">
        <x:f>IF(N198="PASS",H198*'02_假设与情景'!$H$6+I198*'02_假设与情景'!$H$7+J198*'02_假设与情景'!$H$8+K198*'02_假设与情景'!$H$9+L198*'02_假设与情景'!$H$10+M198*'02_假设与情景'!$H$11,0)</x:f>
        <x:v>7.800000000000001</x:v>
      </x:c>
      <x:c r="Q198" s="64" t="str">
        <x:f>IF(N198&lt;&gt;"PASS","不推荐-需再验证",IF(P198&gt;=8,"优先候选",IF(P198&gt;=7,"可询价","备选")))</x:f>
        <x:v>可询价</x:v>
      </x:c>
      <x:c r="R198" s="12" t="str">
        <x:v>SRC-029</x:v>
      </x:c>
      <x:c r="S198" s="12" t="str">
        <x:v>进入同规格询价和总拥有成本比较</x:v>
      </x:c>
    </x:row>
    <x:row r="199">
      <x:c r="A199" t="str">
        <x:v>ALT-194</x:v>
      </x:c>
      <x:c r="B199" t="str">
        <x:v>BOM-012</x:v>
      </x:c>
      <x:c r="C199" t="str">
        <x:v>氯化镁高纯级</x:v>
      </x:c>
      <x:c r="D199" t="str">
        <x:v>Merck分子生物学级MgCl2</x:v>
      </x:c>
      <x:c r="E199" t="str">
        <x:v>Merck</x:v>
      </x:c>
      <x:c r="F199" s="51" t="n">
        <x:v>180</x:v>
      </x:c>
      <x:c r="G199" s="51" t="n">
        <x:v>180</x:v>
      </x:c>
      <x:c r="H199" s="60" t="n">
        <x:f>IF(G199=0,0,MIN(10,10*F199/G199))</x:f>
        <x:v>10</x:v>
      </x:c>
      <x:c r="I199" s="53" t="n">
        <x:v>9</x:v>
      </x:c>
      <x:c r="J199" s="53" t="n">
        <x:v>9</x:v>
      </x:c>
      <x:c r="K199" s="53" t="n">
        <x:v>8</x:v>
      </x:c>
      <x:c r="L199" s="53" t="n">
        <x:v>9</x:v>
      </x:c>
      <x:c r="M199" s="53" t="n">
        <x:v>6</x:v>
      </x:c>
      <x:c r="N199" s="53" t="str">
        <x:v>PASS</x:v>
      </x:c>
      <x:c r="O199" s="62" t="str">
        <x:v>需核对规格、税费、安装和售后边界</x:v>
      </x:c>
      <x:c r="P199" s="63" t="n">
        <x:f>IF(N199="PASS",H199*'02_假设与情景'!$H$6+I199*'02_假设与情景'!$H$7+J199*'02_假设与情景'!$H$8+K199*'02_假设与情景'!$H$9+L199*'02_假设与情景'!$H$10+M199*'02_假设与情景'!$H$11,0)</x:f>
        <x:v>8.899999999999999</x:v>
      </x:c>
      <x:c r="Q199" s="64" t="str">
        <x:f>IF(N199&lt;&gt;"PASS","不推荐-需再验证",IF(P199&gt;=8,"优先候选",IF(P199&gt;=7,"可询价","备选")))</x:f>
        <x:v>优先候选</x:v>
      </x:c>
      <x:c r="R199" s="12" t="str">
        <x:v>SRC-029</x:v>
      </x:c>
      <x:c r="S199" s="12" t="str">
        <x:v>进入同规格询价和总拥有成本比较</x:v>
      </x:c>
    </x:row>
    <x:row r="200">
      <x:c r="A200" t="str">
        <x:v>ALT-195</x:v>
      </x:c>
      <x:c r="B200" t="str">
        <x:v>BOM-012</x:v>
      </x:c>
      <x:c r="C200" t="str">
        <x:v>氯化镁高纯级</x:v>
      </x:c>
      <x:c r="D200" t="str">
        <x:v>国药GR级MgCl2</x:v>
      </x:c>
      <x:c r="E200" t="str">
        <x:v>Sinopharm</x:v>
      </x:c>
      <x:c r="F200" s="51" t="n">
        <x:v>180</x:v>
      </x:c>
      <x:c r="G200" s="51" t="n">
        <x:v>72</x:v>
      </x:c>
      <x:c r="H200" s="60" t="n">
        <x:f>IF(G200=0,0,MIN(10,10*F200/G200))</x:f>
        <x:v>10</x:v>
      </x:c>
      <x:c r="I200" s="53" t="n">
        <x:v>7</x:v>
      </x:c>
      <x:c r="J200" s="53" t="n">
        <x:v>7</x:v>
      </x:c>
      <x:c r="K200" s="53" t="n">
        <x:v>9</x:v>
      </x:c>
      <x:c r="L200" s="53" t="n">
        <x:v>7</x:v>
      </x:c>
      <x:c r="M200" s="53" t="n">
        <x:v>4</x:v>
      </x:c>
      <x:c r="N200" s="53" t="str">
        <x:v>PASS</x:v>
      </x:c>
      <x:c r="O200" s="62" t="str">
        <x:v>需核对规格、税费、安装和售后边界</x:v>
      </x:c>
      <x:c r="P200" s="63" t="n">
        <x:f>IF(N200="PASS",H200*'02_假设与情景'!$H$6+I200*'02_假设与情景'!$H$7+J200*'02_假设与情景'!$H$8+K200*'02_假设与情景'!$H$9+L200*'02_假设与情景'!$H$10+M200*'02_假设与情景'!$H$11,0)</x:f>
        <x:v>7.800000000000001</x:v>
      </x:c>
      <x:c r="Q200" s="64" t="str">
        <x:f>IF(N200&lt;&gt;"PASS","不推荐-需再验证",IF(P200&gt;=8,"优先候选",IF(P200&gt;=7,"可询价","备选")))</x:f>
        <x:v>可询价</x:v>
      </x:c>
      <x:c r="R200" s="12" t="str">
        <x:v>SRC-029</x:v>
      </x:c>
      <x:c r="S200" s="12" t="str">
        <x:v>进入同规格询价和总拥有成本比较</x:v>
      </x:c>
    </x:row>
    <x:row r="201">
      <x:c r="A201" t="str">
        <x:v>ALT-196</x:v>
      </x:c>
      <x:c r="B201" t="str">
        <x:v>BOM-013</x:v>
      </x:c>
      <x:c r="C201" t="str">
        <x:v>KCl高纯级</x:v>
      </x:c>
      <x:c r="D201" t="str">
        <x:v>成本优选：同规格国产合规供应商双询价</x:v>
      </x:c>
      <x:c r="E201" t="str">
        <x:v>国产分子生物学级KCl</x:v>
      </x:c>
      <x:c r="F201" s="51" t="n">
        <x:v>220</x:v>
      </x:c>
      <x:c r="G201" s="51" t="n">
        <x:v>176</x:v>
      </x:c>
      <x:c r="H201" s="60" t="n">
        <x:f>IF(G201=0,0,MIN(10,10*F201/G201))</x:f>
        <x:v>10</x:v>
      </x:c>
      <x:c r="I201" s="53" t="n">
        <x:v>7</x:v>
      </x:c>
      <x:c r="J201" s="53" t="n">
        <x:v>8</x:v>
      </x:c>
      <x:c r="K201" s="53" t="n">
        <x:v>8</x:v>
      </x:c>
      <x:c r="L201" s="53" t="n">
        <x:v>6</x:v>
      </x:c>
      <x:c r="M201" s="53" t="n">
        <x:v>3</x:v>
      </x:c>
      <x:c r="N201" s="53" t="str">
        <x:v>PASS</x:v>
      </x:c>
      <x:c r="O201" s="62" t="str">
        <x:v>需核对规格、税费、安装和售后边界</x:v>
      </x:c>
      <x:c r="P201" s="63" t="n">
        <x:f>IF(N201="PASS",H201*'02_假设与情景'!$H$6+I201*'02_假设与情景'!$H$7+J201*'02_假设与情景'!$H$8+K201*'02_假设与情景'!$H$9+L201*'02_假设与情景'!$H$10+M201*'02_假设与情景'!$H$11,0)</x:f>
        <x:v>7.6499999999999995</x:v>
      </x:c>
      <x:c r="Q201" s="64" t="str">
        <x:f>IF(N201&lt;&gt;"PASS","不推荐-需再验证",IF(P201&gt;=8,"优先候选",IF(P201&gt;=7,"可询价","备选")))</x:f>
        <x:v>可询价</x:v>
      </x:c>
      <x:c r="R201" s="12" t="str">
        <x:v>SRC-029, SRC-031</x:v>
      </x:c>
      <x:c r="S201" s="12" t="str">
        <x:v>KCl仅为PANDA Mix配方原料；需确认分子生物学级、低核酸酶、COA、包装和MOQ</x:v>
      </x:c>
    </x:row>
    <x:row r="202">
      <x:c r="A202" t="str">
        <x:v>ALT-197</x:v>
      </x:c>
      <x:c r="B202" t="str">
        <x:v>BOM-013</x:v>
      </x:c>
      <x:c r="C202" t="str">
        <x:v>KCl高纯级</x:v>
      </x:c>
      <x:c r="D202" t="str">
        <x:v>品质优选：头部品牌全服务包</x:v>
      </x:c>
      <x:c r="E202" t="str">
        <x:v>Merck/Sigma同级KCl</x:v>
      </x:c>
      <x:c r="F202" s="51" t="n">
        <x:v>220</x:v>
      </x:c>
      <x:c r="G202" s="51" t="n">
        <x:v>286</x:v>
      </x:c>
      <x:c r="H202" s="60" t="n">
        <x:f>IF(G202=0,0,MIN(10,10*F202/G202))</x:f>
        <x:v>7.6923076923076925</x:v>
      </x:c>
      <x:c r="I202" s="53" t="n">
        <x:v>9</x:v>
      </x:c>
      <x:c r="J202" s="53" t="n">
        <x:v>9</x:v>
      </x:c>
      <x:c r="K202" s="53" t="n">
        <x:v>7</x:v>
      </x:c>
      <x:c r="L202" s="53" t="n">
        <x:v>9</x:v>
      </x:c>
      <x:c r="M202" s="53" t="n">
        <x:v>3</x:v>
      </x:c>
      <x:c r="N202" s="53" t="str">
        <x:v>PASS</x:v>
      </x:c>
      <x:c r="O202" s="62" t="str">
        <x:v>需核对规格、税费、安装和售后边界</x:v>
      </x:c>
      <x:c r="P202" s="63" t="n">
        <x:f>IF(N202="PASS",H202*'02_假设与情景'!$H$6+I202*'02_假设与情景'!$H$7+J202*'02_假设与情景'!$H$8+K202*'02_假设与情景'!$H$9+L202*'02_假设与情景'!$H$10+M202*'02_假设与情景'!$H$11,0)</x:f>
        <x:v>7.8076923076923075</x:v>
      </x:c>
      <x:c r="Q202" s="64" t="str">
        <x:f>IF(N202&lt;&gt;"PASS","不推荐-需再验证",IF(P202&gt;=8,"优先候选",IF(P202&gt;=7,"可询价","备选")))</x:f>
        <x:v>可询价</x:v>
      </x:c>
      <x:c r="R202" s="12" t="str">
        <x:v>SRC-029, SRC-031</x:v>
      </x:c>
      <x:c r="S202" s="12" t="str">
        <x:v>KCl仅为PANDA Mix配方原料；需确认分子生物学级、低核酸酶、COA、包装和MOQ</x:v>
      </x:c>
    </x:row>
    <x:row r="203">
      <x:c r="A203" t="str">
        <x:v>ALT-198</x:v>
      </x:c>
      <x:c r="B203" t="str">
        <x:v>BOM-014</x:v>
      </x:c>
      <x:c r="C203" t="str">
        <x:v>无核酸酶水</x:v>
      </x:c>
      <x:c r="D203" t="str">
        <x:v>成本优选：同规格国产合规供应商双询价</x:v>
      </x:c>
      <x:c r="E203" t="str">
        <x:v>国产/本地供应链</x:v>
      </x:c>
      <x:c r="F203" s="51" t="n">
        <x:v>25</x:v>
      </x:c>
      <x:c r="G203" s="51" t="n">
        <x:v>21.25</x:v>
      </x:c>
      <x:c r="H203" s="60" t="n">
        <x:f>IF(G203=0,0,MIN(10,10*F203/G203))</x:f>
        <x:v>10</x:v>
      </x:c>
      <x:c r="I203" s="53" t="n">
        <x:v>7</x:v>
      </x:c>
      <x:c r="J203" s="53" t="n">
        <x:v>8</x:v>
      </x:c>
      <x:c r="K203" s="53" t="n">
        <x:v>8</x:v>
      </x:c>
      <x:c r="L203" s="53" t="n">
        <x:v>6</x:v>
      </x:c>
      <x:c r="M203" s="53" t="n">
        <x:v>4</x:v>
      </x:c>
      <x:c r="N203" s="53" t="str">
        <x:v>PASS</x:v>
      </x:c>
      <x:c r="O203" s="62" t="str">
        <x:v>需核对规格、税费、安装和售后边界</x:v>
      </x:c>
      <x:c r="P203" s="63" t="n">
        <x:f>IF(N203="PASS",H203*'02_假设与情景'!$H$6+I203*'02_假设与情景'!$H$7+J203*'02_假设与情景'!$H$8+K203*'02_假设与情景'!$H$9+L203*'02_假设与情景'!$H$10+M203*'02_假设与情景'!$H$11,0)</x:f>
        <x:v>7.75</x:v>
      </x:c>
      <x:c r="Q203" s="64" t="str">
        <x:f>IF(N203&lt;&gt;"PASS","不推荐-需再验证",IF(P203&gt;=8,"优先候选",IF(P203&gt;=7,"可询价","备选")))</x:f>
        <x:v>可询价</x:v>
      </x:c>
      <x:c r="R203" s="12" t="str">
        <x:v>SRC-029</x:v>
      </x:c>
      <x:c r="S203" s="12" t="str">
        <x:v>进入同规格询价和总拥有成本比较</x:v>
      </x:c>
    </x:row>
    <x:row r="204">
      <x:c r="A204" t="str">
        <x:v>ALT-199</x:v>
      </x:c>
      <x:c r="B204" t="str">
        <x:v>BOM-014</x:v>
      </x:c>
      <x:c r="C204" t="str">
        <x:v>无核酸酶水</x:v>
      </x:c>
      <x:c r="D204" t="str">
        <x:v>品质优选：头部品牌全服务包</x:v>
      </x:c>
      <x:c r="E204" t="str">
        <x:v>头部品牌/专业服务商</x:v>
      </x:c>
      <x:c r="F204" s="51" t="n">
        <x:v>25</x:v>
      </x:c>
      <x:c r="G204" s="51" t="n">
        <x:v>29.5</x:v>
      </x:c>
      <x:c r="H204" s="60" t="n">
        <x:f>IF(G204=0,0,MIN(10,10*F204/G204))</x:f>
        <x:v>8.474576271186441</x:v>
      </x:c>
      <x:c r="I204" s="53" t="n">
        <x:v>9</x:v>
      </x:c>
      <x:c r="J204" s="53" t="n">
        <x:v>9</x:v>
      </x:c>
      <x:c r="K204" s="53" t="n">
        <x:v>7</x:v>
      </x:c>
      <x:c r="L204" s="53" t="n">
        <x:v>9</x:v>
      </x:c>
      <x:c r="M204" s="53" t="n">
        <x:v>4</x:v>
      </x:c>
      <x:c r="N204" s="53" t="str">
        <x:v>PASS</x:v>
      </x:c>
      <x:c r="O204" s="62" t="str">
        <x:v>需核对规格、税费、安装和售后边界</x:v>
      </x:c>
      <x:c r="P204" s="63" t="n">
        <x:f>IF(N204="PASS",H204*'02_假设与情景'!$H$6+I204*'02_假设与情景'!$H$7+J204*'02_假设与情景'!$H$8+K204*'02_假设与情景'!$H$9+L204*'02_假设与情景'!$H$10+M204*'02_假设与情景'!$H$11,0)</x:f>
        <x:v>8.142372881355932</x:v>
      </x:c>
      <x:c r="Q204" s="64" t="str">
        <x:f>IF(N204&lt;&gt;"PASS","不推荐-需再验证",IF(P204&gt;=8,"优先候选",IF(P204&gt;=7,"可询价","备选")))</x:f>
        <x:v>优先候选</x:v>
      </x:c>
      <x:c r="R204" s="12" t="str">
        <x:v>SRC-029</x:v>
      </x:c>
      <x:c r="S204" s="12" t="str">
        <x:v>进入同规格询价和总拥有成本比较</x:v>
      </x:c>
    </x:row>
    <x:row r="205">
      <x:c r="A205" t="str">
        <x:v>ALT-200</x:v>
      </x:c>
      <x:c r="B205" t="str">
        <x:v>BOM-015</x:v>
      </x:c>
      <x:c r="C205" t="str">
        <x:v>0.22um低吸附无菌过滤器</x:v>
      </x:c>
      <x:c r="D205" t="str">
        <x:v>成本优选：同规格国产合规供应商双询价</x:v>
      </x:c>
      <x:c r="E205" t="str">
        <x:v>国产/本地供应链</x:v>
      </x:c>
      <x:c r="F205" s="51" t="n">
        <x:v>90</x:v>
      </x:c>
      <x:c r="G205" s="51" t="n">
        <x:v>76.5</x:v>
      </x:c>
      <x:c r="H205" s="60" t="n">
        <x:f>IF(G205=0,0,MIN(10,10*F205/G205))</x:f>
        <x:v>10</x:v>
      </x:c>
      <x:c r="I205" s="53" t="n">
        <x:v>7</x:v>
      </x:c>
      <x:c r="J205" s="53" t="n">
        <x:v>8</x:v>
      </x:c>
      <x:c r="K205" s="53" t="n">
        <x:v>8</x:v>
      </x:c>
      <x:c r="L205" s="53" t="n">
        <x:v>6</x:v>
      </x:c>
      <x:c r="M205" s="53" t="n">
        <x:v>4</x:v>
      </x:c>
      <x:c r="N205" s="53" t="str">
        <x:v>PASS</x:v>
      </x:c>
      <x:c r="O205" s="62" t="str">
        <x:v>需核对规格、税费、安装和售后边界</x:v>
      </x:c>
      <x:c r="P205" s="63" t="n">
        <x:f>IF(N205="PASS",H205*'02_假设与情景'!$H$6+I205*'02_假设与情景'!$H$7+J205*'02_假设与情景'!$H$8+K205*'02_假设与情景'!$H$9+L205*'02_假设与情景'!$H$10+M205*'02_假设与情景'!$H$11,0)</x:f>
        <x:v>7.75</x:v>
      </x:c>
      <x:c r="Q205" s="64" t="str">
        <x:f>IF(N205&lt;&gt;"PASS","不推荐-需再验证",IF(P205&gt;=8,"优先候选",IF(P205&gt;=7,"可询价","备选")))</x:f>
        <x:v>可询价</x:v>
      </x:c>
      <x:c r="R205" s="12" t="str">
        <x:v>SRC-028</x:v>
      </x:c>
      <x:c r="S205" s="12" t="str">
        <x:v>进入同规格询价和总拥有成本比较</x:v>
      </x:c>
    </x:row>
    <x:row r="206">
      <x:c r="A206" t="str">
        <x:v>ALT-201</x:v>
      </x:c>
      <x:c r="B206" t="str">
        <x:v>BOM-015</x:v>
      </x:c>
      <x:c r="C206" t="str">
        <x:v>0.22um低吸附无菌过滤器</x:v>
      </x:c>
      <x:c r="D206" t="str">
        <x:v>品质优选：头部品牌全服务包</x:v>
      </x:c>
      <x:c r="E206" t="str">
        <x:v>头部品牌/专业服务商</x:v>
      </x:c>
      <x:c r="F206" s="51" t="n">
        <x:v>90</x:v>
      </x:c>
      <x:c r="G206" s="51" t="n">
        <x:v>106.2</x:v>
      </x:c>
      <x:c r="H206" s="60" t="n">
        <x:f>IF(G206=0,0,MIN(10,10*F206/G206))</x:f>
        <x:v>8.474576271186441</x:v>
      </x:c>
      <x:c r="I206" s="53" t="n">
        <x:v>9</x:v>
      </x:c>
      <x:c r="J206" s="53" t="n">
        <x:v>9</x:v>
      </x:c>
      <x:c r="K206" s="53" t="n">
        <x:v>7</x:v>
      </x:c>
      <x:c r="L206" s="53" t="n">
        <x:v>9</x:v>
      </x:c>
      <x:c r="M206" s="53" t="n">
        <x:v>4</x:v>
      </x:c>
      <x:c r="N206" s="53" t="str">
        <x:v>PASS</x:v>
      </x:c>
      <x:c r="O206" s="62" t="str">
        <x:v>需核对规格、税费、安装和售后边界</x:v>
      </x:c>
      <x:c r="P206" s="63" t="n">
        <x:f>IF(N206="PASS",H206*'02_假设与情景'!$H$6+I206*'02_假设与情景'!$H$7+J206*'02_假设与情景'!$H$8+K206*'02_假设与情景'!$H$9+L206*'02_假设与情景'!$H$10+M206*'02_假设与情景'!$H$11,0)</x:f>
        <x:v>8.142372881355932</x:v>
      </x:c>
      <x:c r="Q206" s="64" t="str">
        <x:f>IF(N206&lt;&gt;"PASS","不推荐-需再验证",IF(P206&gt;=8,"优先候选",IF(P206&gt;=7,"可询价","备选")))</x:f>
        <x:v>优先候选</x:v>
      </x:c>
      <x:c r="R206" s="12" t="str">
        <x:v>SRC-028</x:v>
      </x:c>
      <x:c r="S206" s="12" t="str">
        <x:v>进入同规格询价和总拥有成本比较</x:v>
      </x:c>
    </x:row>
    <x:row r="207">
      <x:c r="A207" t="str">
        <x:v>ALT-202</x:v>
      </x:c>
      <x:c r="B207" t="str">
        <x:v>BOM-016</x:v>
      </x:c>
      <x:c r="C207" t="str">
        <x:v>PCR Mix与PANDA Mix棕色低吸附冻存管</x:v>
      </x:c>
      <x:c r="D207" t="str">
        <x:v>成本优选：同规格国产合规供应商双询价</x:v>
      </x:c>
      <x:c r="E207" t="str">
        <x:v>国产/本地供应链</x:v>
      </x:c>
      <x:c r="F207" s="51" t="n">
        <x:v>1.5</x:v>
      </x:c>
      <x:c r="G207" s="51" t="n">
        <x:v>1.275</x:v>
      </x:c>
      <x:c r="H207" s="60" t="n">
        <x:f>IF(G207=0,0,MIN(10,10*F207/G207))</x:f>
        <x:v>10</x:v>
      </x:c>
      <x:c r="I207" s="53" t="n">
        <x:v>7</x:v>
      </x:c>
      <x:c r="J207" s="53" t="n">
        <x:v>8</x:v>
      </x:c>
      <x:c r="K207" s="53" t="n">
        <x:v>8</x:v>
      </x:c>
      <x:c r="L207" s="53" t="n">
        <x:v>6</x:v>
      </x:c>
      <x:c r="M207" s="53" t="n">
        <x:v>4</x:v>
      </x:c>
      <x:c r="N207" s="53" t="str">
        <x:v>PASS</x:v>
      </x:c>
      <x:c r="O207" s="62" t="str">
        <x:v>需核对规格、税费、安装和售后边界</x:v>
      </x:c>
      <x:c r="P207" s="63" t="n">
        <x:f>IF(N207="PASS",H207*'02_假设与情景'!$H$6+I207*'02_假设与情景'!$H$7+J207*'02_假设与情景'!$H$8+K207*'02_假设与情景'!$H$9+L207*'02_假设与情景'!$H$10+M207*'02_假设与情景'!$H$11,0)</x:f>
        <x:v>7.75</x:v>
      </x:c>
      <x:c r="Q207" s="64" t="str">
        <x:f>IF(N207&lt;&gt;"PASS","不推荐-需再验证",IF(P207&gt;=8,"优先候选",IF(P207&gt;=7,"可询价","备选")))</x:f>
        <x:v>可询价</x:v>
      </x:c>
      <x:c r="R207" s="12" t="str">
        <x:v>SRC-028</x:v>
      </x:c>
      <x:c r="S207" s="12" t="str">
        <x:v>进入同规格询价和总拥有成本比较</x:v>
      </x:c>
    </x:row>
    <x:row r="208">
      <x:c r="A208" t="str">
        <x:v>ALT-203</x:v>
      </x:c>
      <x:c r="B208" t="str">
        <x:v>BOM-016</x:v>
      </x:c>
      <x:c r="C208" t="str">
        <x:v>PCR Mix与PANDA Mix棕色低吸附冻存管</x:v>
      </x:c>
      <x:c r="D208" t="str">
        <x:v>品质优选：头部品牌全服务包</x:v>
      </x:c>
      <x:c r="E208" t="str">
        <x:v>头部品牌/专业服务商</x:v>
      </x:c>
      <x:c r="F208" s="51" t="n">
        <x:v>1.5</x:v>
      </x:c>
      <x:c r="G208" s="51" t="n">
        <x:v>1.77</x:v>
      </x:c>
      <x:c r="H208" s="60" t="n">
        <x:f>IF(G208=0,0,MIN(10,10*F208/G208))</x:f>
        <x:v>8.474576271186441</x:v>
      </x:c>
      <x:c r="I208" s="53" t="n">
        <x:v>9</x:v>
      </x:c>
      <x:c r="J208" s="53" t="n">
        <x:v>9</x:v>
      </x:c>
      <x:c r="K208" s="53" t="n">
        <x:v>7</x:v>
      </x:c>
      <x:c r="L208" s="53" t="n">
        <x:v>9</x:v>
      </x:c>
      <x:c r="M208" s="53" t="n">
        <x:v>4</x:v>
      </x:c>
      <x:c r="N208" s="53" t="str">
        <x:v>PASS</x:v>
      </x:c>
      <x:c r="O208" s="62" t="str">
        <x:v>需核对规格、税费、安装和售后边界</x:v>
      </x:c>
      <x:c r="P208" s="63" t="n">
        <x:f>IF(N208="PASS",H208*'02_假设与情景'!$H$6+I208*'02_假设与情景'!$H$7+J208*'02_假设与情景'!$H$8+K208*'02_假设与情景'!$H$9+L208*'02_假设与情景'!$H$10+M208*'02_假设与情景'!$H$11,0)</x:f>
        <x:v>8.142372881355932</x:v>
      </x:c>
      <x:c r="Q208" s="64" t="str">
        <x:f>IF(N208&lt;&gt;"PASS","不推荐-需再验证",IF(P208&gt;=8,"优先候选",IF(P208&gt;=7,"可询价","备选")))</x:f>
        <x:v>优先候选</x:v>
      </x:c>
      <x:c r="R208" s="12" t="str">
        <x:v>SRC-028</x:v>
      </x:c>
      <x:c r="S208" s="12" t="str">
        <x:v>进入同规格询价和总拥有成本比较</x:v>
      </x:c>
    </x:row>
    <x:row r="209">
      <x:c r="A209" t="str">
        <x:v>ALT-204</x:v>
      </x:c>
      <x:c r="B209" t="str">
        <x:v>BOM-017</x:v>
      </x:c>
      <x:c r="C209" t="str">
        <x:v>CD Mix棕色低吸附冻存管</x:v>
      </x:c>
      <x:c r="D209" t="str">
        <x:v>成本优选：同规格国产合规供应商双询价</x:v>
      </x:c>
      <x:c r="E209" t="str">
        <x:v>国产/本地供应链</x:v>
      </x:c>
      <x:c r="F209" s="51" t="n">
        <x:v>1.5</x:v>
      </x:c>
      <x:c r="G209" s="51" t="n">
        <x:v>1.275</x:v>
      </x:c>
      <x:c r="H209" s="60" t="n">
        <x:f>IF(G209=0,0,MIN(10,10*F209/G209))</x:f>
        <x:v>10</x:v>
      </x:c>
      <x:c r="I209" s="53" t="n">
        <x:v>7</x:v>
      </x:c>
      <x:c r="J209" s="53" t="n">
        <x:v>8</x:v>
      </x:c>
      <x:c r="K209" s="53" t="n">
        <x:v>8</x:v>
      </x:c>
      <x:c r="L209" s="53" t="n">
        <x:v>6</x:v>
      </x:c>
      <x:c r="M209" s="53" t="n">
        <x:v>4</x:v>
      </x:c>
      <x:c r="N209" s="53" t="str">
        <x:v>PASS</x:v>
      </x:c>
      <x:c r="O209" s="62" t="str">
        <x:v>需核对规格、税费、安装和售后边界</x:v>
      </x:c>
      <x:c r="P209" s="63" t="n">
        <x:f>IF(N209="PASS",H209*'02_假设与情景'!$H$6+I209*'02_假设与情景'!$H$7+J209*'02_假设与情景'!$H$8+K209*'02_假设与情景'!$H$9+L209*'02_假设与情景'!$H$10+M209*'02_假设与情景'!$H$11,0)</x:f>
        <x:v>7.75</x:v>
      </x:c>
      <x:c r="Q209" s="64" t="str">
        <x:f>IF(N209&lt;&gt;"PASS","不推荐-需再验证",IF(P209&gt;=8,"优先候选",IF(P209&gt;=7,"可询价","备选")))</x:f>
        <x:v>可询价</x:v>
      </x:c>
      <x:c r="R209" s="12" t="str">
        <x:v>SRC-028</x:v>
      </x:c>
      <x:c r="S209" s="12" t="str">
        <x:v>进入同规格询价和总拥有成本比较</x:v>
      </x:c>
    </x:row>
    <x:row r="210">
      <x:c r="A210" t="str">
        <x:v>ALT-205</x:v>
      </x:c>
      <x:c r="B210" t="str">
        <x:v>BOM-017</x:v>
      </x:c>
      <x:c r="C210" t="str">
        <x:v>CD Mix棕色低吸附冻存管</x:v>
      </x:c>
      <x:c r="D210" t="str">
        <x:v>品质优选：头部品牌全服务包</x:v>
      </x:c>
      <x:c r="E210" t="str">
        <x:v>头部品牌/专业服务商</x:v>
      </x:c>
      <x:c r="F210" s="51" t="n">
        <x:v>1.5</x:v>
      </x:c>
      <x:c r="G210" s="51" t="n">
        <x:v>1.77</x:v>
      </x:c>
      <x:c r="H210" s="60" t="n">
        <x:f>IF(G210=0,0,MIN(10,10*F210/G210))</x:f>
        <x:v>8.474576271186441</x:v>
      </x:c>
      <x:c r="I210" s="53" t="n">
        <x:v>9</x:v>
      </x:c>
      <x:c r="J210" s="53" t="n">
        <x:v>9</x:v>
      </x:c>
      <x:c r="K210" s="53" t="n">
        <x:v>7</x:v>
      </x:c>
      <x:c r="L210" s="53" t="n">
        <x:v>9</x:v>
      </x:c>
      <x:c r="M210" s="53" t="n">
        <x:v>4</x:v>
      </x:c>
      <x:c r="N210" s="53" t="str">
        <x:v>PASS</x:v>
      </x:c>
      <x:c r="O210" s="62" t="str">
        <x:v>需核对规格、税费、安装和售后边界</x:v>
      </x:c>
      <x:c r="P210" s="63" t="n">
        <x:f>IF(N210="PASS",H210*'02_假设与情景'!$H$6+I210*'02_假设与情景'!$H$7+J210*'02_假设与情景'!$H$8+K210*'02_假设与情景'!$H$9+L210*'02_假设与情景'!$H$10+M210*'02_假设与情景'!$H$11,0)</x:f>
        <x:v>8.142372881355932</x:v>
      </x:c>
      <x:c r="Q210" s="64" t="str">
        <x:f>IF(N210&lt;&gt;"PASS","不推荐-需再验证",IF(P210&gt;=8,"优先候选",IF(P210&gt;=7,"可询价","备选")))</x:f>
        <x:v>优先候选</x:v>
      </x:c>
      <x:c r="R210" s="12" t="str">
        <x:v>SRC-028</x:v>
      </x:c>
      <x:c r="S210" s="12" t="str">
        <x:v>进入同规格询价和总拥有成本比较</x:v>
      </x:c>
    </x:row>
    <x:row r="211">
      <x:c r="A211" t="str">
        <x:v>ALT-206</x:v>
      </x:c>
      <x:c r="B211" t="str">
        <x:v>BOM-018</x:v>
      </x:c>
      <x:c r="C211" t="str">
        <x:v>三种DNA对照品及NTC低吸附冻存管</x:v>
      </x:c>
      <x:c r="D211" t="str">
        <x:v>成本优选：同规格国产合规供应商双询价</x:v>
      </x:c>
      <x:c r="E211" t="str">
        <x:v>国产/本地供应链</x:v>
      </x:c>
      <x:c r="F211" s="51" t="n">
        <x:v>1.2</x:v>
      </x:c>
      <x:c r="G211" s="51" t="n">
        <x:v>1.02</x:v>
      </x:c>
      <x:c r="H211" s="60" t="n">
        <x:f>IF(G211=0,0,MIN(10,10*F211/G211))</x:f>
        <x:v>10</x:v>
      </x:c>
      <x:c r="I211" s="53" t="n">
        <x:v>7</x:v>
      </x:c>
      <x:c r="J211" s="53" t="n">
        <x:v>8</x:v>
      </x:c>
      <x:c r="K211" s="53" t="n">
        <x:v>8</x:v>
      </x:c>
      <x:c r="L211" s="53" t="n">
        <x:v>6</x:v>
      </x:c>
      <x:c r="M211" s="53" t="n">
        <x:v>4</x:v>
      </x:c>
      <x:c r="N211" s="53" t="str">
        <x:v>PASS</x:v>
      </x:c>
      <x:c r="O211" s="62" t="str">
        <x:v>需核对规格、税费、安装和售后边界</x:v>
      </x:c>
      <x:c r="P211" s="63" t="n">
        <x:f>IF(N211="PASS",H211*'02_假设与情景'!$H$6+I211*'02_假设与情景'!$H$7+J211*'02_假设与情景'!$H$8+K211*'02_假设与情景'!$H$9+L211*'02_假设与情景'!$H$10+M211*'02_假设与情景'!$H$11,0)</x:f>
        <x:v>7.75</x:v>
      </x:c>
      <x:c r="Q211" s="64" t="str">
        <x:f>IF(N211&lt;&gt;"PASS","不推荐-需再验证",IF(P211&gt;=8,"优先候选",IF(P211&gt;=7,"可询价","备选")))</x:f>
        <x:v>可询价</x:v>
      </x:c>
      <x:c r="R211" s="12" t="str">
        <x:v>SRC-028</x:v>
      </x:c>
      <x:c r="S211" s="12" t="str">
        <x:v>进入同规格询价和总拥有成本比较</x:v>
      </x:c>
    </x:row>
    <x:row r="212">
      <x:c r="A212" t="str">
        <x:v>ALT-207</x:v>
      </x:c>
      <x:c r="B212" t="str">
        <x:v>BOM-018</x:v>
      </x:c>
      <x:c r="C212" t="str">
        <x:v>三种DNA对照品及NTC低吸附冻存管</x:v>
      </x:c>
      <x:c r="D212" t="str">
        <x:v>品质优选：头部品牌全服务包</x:v>
      </x:c>
      <x:c r="E212" t="str">
        <x:v>头部品牌/专业服务商</x:v>
      </x:c>
      <x:c r="F212" s="51" t="n">
        <x:v>1.2</x:v>
      </x:c>
      <x:c r="G212" s="51" t="n">
        <x:v>1.416</x:v>
      </x:c>
      <x:c r="H212" s="60" t="n">
        <x:f>IF(G212=0,0,MIN(10,10*F212/G212))</x:f>
        <x:v>8.474576271186441</x:v>
      </x:c>
      <x:c r="I212" s="53" t="n">
        <x:v>9</x:v>
      </x:c>
      <x:c r="J212" s="53" t="n">
        <x:v>9</x:v>
      </x:c>
      <x:c r="K212" s="53" t="n">
        <x:v>7</x:v>
      </x:c>
      <x:c r="L212" s="53" t="n">
        <x:v>9</x:v>
      </x:c>
      <x:c r="M212" s="53" t="n">
        <x:v>4</x:v>
      </x:c>
      <x:c r="N212" s="53" t="str">
        <x:v>PASS</x:v>
      </x:c>
      <x:c r="O212" s="62" t="str">
        <x:v>需核对规格、税费、安装和售后边界</x:v>
      </x:c>
      <x:c r="P212" s="63" t="n">
        <x:f>IF(N212="PASS",H212*'02_假设与情景'!$H$6+I212*'02_假设与情景'!$H$7+J212*'02_假设与情景'!$H$8+K212*'02_假设与情景'!$H$9+L212*'02_假设与情景'!$H$10+M212*'02_假设与情景'!$H$11,0)</x:f>
        <x:v>8.142372881355932</x:v>
      </x:c>
      <x:c r="Q212" s="64" t="str">
        <x:f>IF(N212&lt;&gt;"PASS","不推荐-需再验证",IF(P212&gt;=8,"优先候选",IF(P212&gt;=7,"可询价","备选")))</x:f>
        <x:v>优先候选</x:v>
      </x:c>
      <x:c r="R212" s="12" t="str">
        <x:v>SRC-028</x:v>
      </x:c>
      <x:c r="S212" s="12" t="str">
        <x:v>进入同规格询价和总拥有成本比较</x:v>
      </x:c>
    </x:row>
    <x:row r="213">
      <x:c r="A213" t="str">
        <x:v>ALT-208</x:v>
      </x:c>
      <x:c r="B213" t="str">
        <x:v>BOM-019</x:v>
      </x:c>
      <x:c r="C213" t="str">
        <x:v>冻存管匹配旋盖</x:v>
      </x:c>
      <x:c r="D213" t="str">
        <x:v>成本优选：同规格国产合规供应商双询价</x:v>
      </x:c>
      <x:c r="E213" t="str">
        <x:v>国产/本地供应链</x:v>
      </x:c>
      <x:c r="F213" s="51" t="n">
        <x:v>0.3</x:v>
      </x:c>
      <x:c r="G213" s="51" t="n">
        <x:v>0.255</x:v>
      </x:c>
      <x:c r="H213" s="60" t="n">
        <x:f>IF(G213=0,0,MIN(10,10*F213/G213))</x:f>
        <x:v>10</x:v>
      </x:c>
      <x:c r="I213" s="53" t="n">
        <x:v>7</x:v>
      </x:c>
      <x:c r="J213" s="53" t="n">
        <x:v>8</x:v>
      </x:c>
      <x:c r="K213" s="53" t="n">
        <x:v>8</x:v>
      </x:c>
      <x:c r="L213" s="53" t="n">
        <x:v>6</x:v>
      </x:c>
      <x:c r="M213" s="53" t="n">
        <x:v>4</x:v>
      </x:c>
      <x:c r="N213" s="53" t="str">
        <x:v>PASS</x:v>
      </x:c>
      <x:c r="O213" s="62" t="str">
        <x:v>需核对规格、税费、安装和售后边界</x:v>
      </x:c>
      <x:c r="P213" s="63" t="n">
        <x:f>IF(N213="PASS",H213*'02_假设与情景'!$H$6+I213*'02_假设与情景'!$H$7+J213*'02_假设与情景'!$H$8+K213*'02_假设与情景'!$H$9+L213*'02_假设与情景'!$H$10+M213*'02_假设与情景'!$H$11,0)</x:f>
        <x:v>7.75</x:v>
      </x:c>
      <x:c r="Q213" s="64" t="str">
        <x:f>IF(N213&lt;&gt;"PASS","不推荐-需再验证",IF(P213&gt;=8,"优先候选",IF(P213&gt;=7,"可询价","备选")))</x:f>
        <x:v>可询价</x:v>
      </x:c>
      <x:c r="R213" s="12" t="str">
        <x:v>SRC-028</x:v>
      </x:c>
      <x:c r="S213" s="12" t="str">
        <x:v>进入同规格询价和总拥有成本比较</x:v>
      </x:c>
    </x:row>
    <x:row r="214">
      <x:c r="A214" t="str">
        <x:v>ALT-209</x:v>
      </x:c>
      <x:c r="B214" t="str">
        <x:v>BOM-019</x:v>
      </x:c>
      <x:c r="C214" t="str">
        <x:v>冻存管匹配旋盖</x:v>
      </x:c>
      <x:c r="D214" t="str">
        <x:v>品质优选：头部品牌全服务包</x:v>
      </x:c>
      <x:c r="E214" t="str">
        <x:v>头部品牌/专业服务商</x:v>
      </x:c>
      <x:c r="F214" s="51" t="n">
        <x:v>0.3</x:v>
      </x:c>
      <x:c r="G214" s="51" t="n">
        <x:v>0.354</x:v>
      </x:c>
      <x:c r="H214" s="60" t="n">
        <x:f>IF(G214=0,0,MIN(10,10*F214/G214))</x:f>
        <x:v>8.474576271186441</x:v>
      </x:c>
      <x:c r="I214" s="53" t="n">
        <x:v>9</x:v>
      </x:c>
      <x:c r="J214" s="53" t="n">
        <x:v>9</x:v>
      </x:c>
      <x:c r="K214" s="53" t="n">
        <x:v>7</x:v>
      </x:c>
      <x:c r="L214" s="53" t="n">
        <x:v>9</x:v>
      </x:c>
      <x:c r="M214" s="53" t="n">
        <x:v>4</x:v>
      </x:c>
      <x:c r="N214" s="53" t="str">
        <x:v>PASS</x:v>
      </x:c>
      <x:c r="O214" s="62" t="str">
        <x:v>需核对规格、税费、安装和售后边界</x:v>
      </x:c>
      <x:c r="P214" s="63" t="n">
        <x:f>IF(N214="PASS",H214*'02_假设与情景'!$H$6+I214*'02_假设与情景'!$H$7+J214*'02_假设与情景'!$H$8+K214*'02_假设与情景'!$H$9+L214*'02_假设与情景'!$H$10+M214*'02_假设与情景'!$H$11,0)</x:f>
        <x:v>8.142372881355932</x:v>
      </x:c>
      <x:c r="Q214" s="64" t="str">
        <x:f>IF(N214&lt;&gt;"PASS","不推荐-需再验证",IF(P214&gt;=8,"优先候选",IF(P214&gt;=7,"可询价","备选")))</x:f>
        <x:v>优先候选</x:v>
      </x:c>
      <x:c r="R214" s="12" t="str">
        <x:v>SRC-028</x:v>
      </x:c>
      <x:c r="S214" s="12" t="str">
        <x:v>进入同规格询价和总拥有成本比较</x:v>
      </x:c>
    </x:row>
    <x:row r="215">
      <x:c r="A215" t="str">
        <x:v>ALT-210</x:v>
      </x:c>
      <x:c r="B215" t="str">
        <x:v>BOM-020</x:v>
      </x:c>
      <x:c r="C215" t="str">
        <x:v>试剂盒外盒及内托</x:v>
      </x:c>
      <x:c r="D215" t="str">
        <x:v>成本优选：同规格国产合规供应商双询价</x:v>
      </x:c>
      <x:c r="E215" t="str">
        <x:v>国产/本地供应链</x:v>
      </x:c>
      <x:c r="F215" s="51" t="n">
        <x:v>2</x:v>
      </x:c>
      <x:c r="G215" s="51" t="n">
        <x:v>1.7</x:v>
      </x:c>
      <x:c r="H215" s="60" t="n">
        <x:f>IF(G215=0,0,MIN(10,10*F215/G215))</x:f>
        <x:v>10</x:v>
      </x:c>
      <x:c r="I215" s="53" t="n">
        <x:v>7</x:v>
      </x:c>
      <x:c r="J215" s="53" t="n">
        <x:v>8</x:v>
      </x:c>
      <x:c r="K215" s="53" t="n">
        <x:v>8</x:v>
      </x:c>
      <x:c r="L215" s="53" t="n">
        <x:v>6</x:v>
      </x:c>
      <x:c r="M215" s="53" t="n">
        <x:v>4</x:v>
      </x:c>
      <x:c r="N215" s="53" t="str">
        <x:v>PASS</x:v>
      </x:c>
      <x:c r="O215" s="62" t="str">
        <x:v>需核对规格、税费、安装和售后边界</x:v>
      </x:c>
      <x:c r="P215" s="63" t="n">
        <x:f>IF(N215="PASS",H215*'02_假设与情景'!$H$6+I215*'02_假设与情景'!$H$7+J215*'02_假设与情景'!$H$8+K215*'02_假设与情景'!$H$9+L215*'02_假设与情景'!$H$10+M215*'02_假设与情景'!$H$11,0)</x:f>
        <x:v>7.75</x:v>
      </x:c>
      <x:c r="Q215" s="64" t="str">
        <x:f>IF(N215&lt;&gt;"PASS","不推荐-需再验证",IF(P215&gt;=8,"优先候选",IF(P215&gt;=7,"可询价","备选")))</x:f>
        <x:v>可询价</x:v>
      </x:c>
      <x:c r="R215" s="12" t="str">
        <x:v>SRC-028</x:v>
      </x:c>
      <x:c r="S215" s="12" t="str">
        <x:v>进入同规格询价和总拥有成本比较</x:v>
      </x:c>
    </x:row>
    <x:row r="216">
      <x:c r="A216" t="str">
        <x:v>ALT-211</x:v>
      </x:c>
      <x:c r="B216" t="str">
        <x:v>BOM-020</x:v>
      </x:c>
      <x:c r="C216" t="str">
        <x:v>试剂盒外盒及内托</x:v>
      </x:c>
      <x:c r="D216" t="str">
        <x:v>品质优选：头部品牌全服务包</x:v>
      </x:c>
      <x:c r="E216" t="str">
        <x:v>头部品牌/专业服务商</x:v>
      </x:c>
      <x:c r="F216" s="51" t="n">
        <x:v>2</x:v>
      </x:c>
      <x:c r="G216" s="51" t="n">
        <x:v>2.36</x:v>
      </x:c>
      <x:c r="H216" s="60" t="n">
        <x:f>IF(G216=0,0,MIN(10,10*F216/G216))</x:f>
        <x:v>8.474576271186441</x:v>
      </x:c>
      <x:c r="I216" s="53" t="n">
        <x:v>9</x:v>
      </x:c>
      <x:c r="J216" s="53" t="n">
        <x:v>9</x:v>
      </x:c>
      <x:c r="K216" s="53" t="n">
        <x:v>7</x:v>
      </x:c>
      <x:c r="L216" s="53" t="n">
        <x:v>9</x:v>
      </x:c>
      <x:c r="M216" s="53" t="n">
        <x:v>4</x:v>
      </x:c>
      <x:c r="N216" s="53" t="str">
        <x:v>PASS</x:v>
      </x:c>
      <x:c r="O216" s="62" t="str">
        <x:v>需核对规格、税费、安装和售后边界</x:v>
      </x:c>
      <x:c r="P216" s="63" t="n">
        <x:f>IF(N216="PASS",H216*'02_假设与情景'!$H$6+I216*'02_假设与情景'!$H$7+J216*'02_假设与情景'!$H$8+K216*'02_假设与情景'!$H$9+L216*'02_假设与情景'!$H$10+M216*'02_假设与情景'!$H$11,0)</x:f>
        <x:v>8.142372881355932</x:v>
      </x:c>
      <x:c r="Q216" s="64" t="str">
        <x:f>IF(N216&lt;&gt;"PASS","不推荐-需再验证",IF(P216&gt;=8,"优先候选",IF(P216&gt;=7,"可询价","备选")))</x:f>
        <x:v>优先候选</x:v>
      </x:c>
      <x:c r="R216" s="12" t="str">
        <x:v>SRC-028</x:v>
      </x:c>
      <x:c r="S216" s="12" t="str">
        <x:v>进入同规格询价和总拥有成本比较</x:v>
      </x:c>
    </x:row>
    <x:row r="217">
      <x:c r="A217" t="str">
        <x:v>ALT-212</x:v>
      </x:c>
      <x:c r="B217" t="str">
        <x:v>BOM-021</x:v>
      </x:c>
      <x:c r="C217" t="str">
        <x:v>产品说明书印刷</x:v>
      </x:c>
      <x:c r="D217" t="str">
        <x:v>成本优选：同规格国产合规供应商双询价</x:v>
      </x:c>
      <x:c r="E217" t="str">
        <x:v>国产/本地供应链</x:v>
      </x:c>
      <x:c r="F217" s="51" t="n">
        <x:v>0.25</x:v>
      </x:c>
      <x:c r="G217" s="51" t="n">
        <x:v>0.2125</x:v>
      </x:c>
      <x:c r="H217" s="60" t="n">
        <x:f>IF(G217=0,0,MIN(10,10*F217/G217))</x:f>
        <x:v>10</x:v>
      </x:c>
      <x:c r="I217" s="53" t="n">
        <x:v>7</x:v>
      </x:c>
      <x:c r="J217" s="53" t="n">
        <x:v>8</x:v>
      </x:c>
      <x:c r="K217" s="53" t="n">
        <x:v>8</x:v>
      </x:c>
      <x:c r="L217" s="53" t="n">
        <x:v>6</x:v>
      </x:c>
      <x:c r="M217" s="53" t="n">
        <x:v>4</x:v>
      </x:c>
      <x:c r="N217" s="53" t="str">
        <x:v>PASS</x:v>
      </x:c>
      <x:c r="O217" s="62" t="str">
        <x:v>需核对规格、税费、安装和售后边界</x:v>
      </x:c>
      <x:c r="P217" s="63" t="n">
        <x:f>IF(N217="PASS",H217*'02_假设与情景'!$H$6+I217*'02_假设与情景'!$H$7+J217*'02_假设与情景'!$H$8+K217*'02_假设与情景'!$H$9+L217*'02_假设与情景'!$H$10+M217*'02_假设与情景'!$H$11,0)</x:f>
        <x:v>7.75</x:v>
      </x:c>
      <x:c r="Q217" s="64" t="str">
        <x:f>IF(N217&lt;&gt;"PASS","不推荐-需再验证",IF(P217&gt;=8,"优先候选",IF(P217&gt;=7,"可询价","备选")))</x:f>
        <x:v>可询价</x:v>
      </x:c>
      <x:c r="R217" s="12" t="str">
        <x:v>SRC-028</x:v>
      </x:c>
      <x:c r="S217" s="12" t="str">
        <x:v>进入同规格询价和总拥有成本比较</x:v>
      </x:c>
    </x:row>
    <x:row r="218">
      <x:c r="A218" t="str">
        <x:v>ALT-213</x:v>
      </x:c>
      <x:c r="B218" t="str">
        <x:v>BOM-021</x:v>
      </x:c>
      <x:c r="C218" t="str">
        <x:v>产品说明书印刷</x:v>
      </x:c>
      <x:c r="D218" t="str">
        <x:v>品质优选：头部品牌全服务包</x:v>
      </x:c>
      <x:c r="E218" t="str">
        <x:v>头部品牌/专业服务商</x:v>
      </x:c>
      <x:c r="F218" s="51" t="n">
        <x:v>0.25</x:v>
      </x:c>
      <x:c r="G218" s="51" t="n">
        <x:v>0.295</x:v>
      </x:c>
      <x:c r="H218" s="60" t="n">
        <x:f>IF(G218=0,0,MIN(10,10*F218/G218))</x:f>
        <x:v>8.474576271186441</x:v>
      </x:c>
      <x:c r="I218" s="53" t="n">
        <x:v>9</x:v>
      </x:c>
      <x:c r="J218" s="53" t="n">
        <x:v>9</x:v>
      </x:c>
      <x:c r="K218" s="53" t="n">
        <x:v>7</x:v>
      </x:c>
      <x:c r="L218" s="53" t="n">
        <x:v>9</x:v>
      </x:c>
      <x:c r="M218" s="53" t="n">
        <x:v>4</x:v>
      </x:c>
      <x:c r="N218" s="53" t="str">
        <x:v>PASS</x:v>
      </x:c>
      <x:c r="O218" s="62" t="str">
        <x:v>需核对规格、税费、安装和售后边界</x:v>
      </x:c>
      <x:c r="P218" s="63" t="n">
        <x:f>IF(N218="PASS",H218*'02_假设与情景'!$H$6+I218*'02_假设与情景'!$H$7+J218*'02_假设与情景'!$H$8+K218*'02_假设与情景'!$H$9+L218*'02_假设与情景'!$H$10+M218*'02_假设与情景'!$H$11,0)</x:f>
        <x:v>8.142372881355932</x:v>
      </x:c>
      <x:c r="Q218" s="64" t="str">
        <x:f>IF(N218&lt;&gt;"PASS","不推荐-需再验证",IF(P218&gt;=8,"优先候选",IF(P218&gt;=7,"可询价","备选")))</x:f>
        <x:v>优先候选</x:v>
      </x:c>
      <x:c r="R218" s="12" t="str">
        <x:v>SRC-028</x:v>
      </x:c>
      <x:c r="S218" s="12" t="str">
        <x:v>进入同规格询价和总拥有成本比较</x:v>
      </x:c>
    </x:row>
    <x:row r="219">
      <x:c r="A219" t="str">
        <x:v>ALT-214</x:v>
      </x:c>
      <x:c r="B219" t="str">
        <x:v>BOM-022</x:v>
      </x:c>
      <x:c r="C219" t="str">
        <x:v>产品、管体和外盒标签</x:v>
      </x:c>
      <x:c r="D219" t="str">
        <x:v>成本优选：同规格国产合规供应商双询价</x:v>
      </x:c>
      <x:c r="E219" t="str">
        <x:v>国产/本地供应链</x:v>
      </x:c>
      <x:c r="F219" s="51" t="n">
        <x:v>0.5</x:v>
      </x:c>
      <x:c r="G219" s="51" t="n">
        <x:v>0.425</x:v>
      </x:c>
      <x:c r="H219" s="60" t="n">
        <x:f>IF(G219=0,0,MIN(10,10*F219/G219))</x:f>
        <x:v>10</x:v>
      </x:c>
      <x:c r="I219" s="53" t="n">
        <x:v>7</x:v>
      </x:c>
      <x:c r="J219" s="53" t="n">
        <x:v>8</x:v>
      </x:c>
      <x:c r="K219" s="53" t="n">
        <x:v>8</x:v>
      </x:c>
      <x:c r="L219" s="53" t="n">
        <x:v>6</x:v>
      </x:c>
      <x:c r="M219" s="53" t="n">
        <x:v>4</x:v>
      </x:c>
      <x:c r="N219" s="53" t="str">
        <x:v>PASS</x:v>
      </x:c>
      <x:c r="O219" s="62" t="str">
        <x:v>需核对规格、税费、安装和售后边界</x:v>
      </x:c>
      <x:c r="P219" s="63" t="n">
        <x:f>IF(N219="PASS",H219*'02_假设与情景'!$H$6+I219*'02_假设与情景'!$H$7+J219*'02_假设与情景'!$H$8+K219*'02_假设与情景'!$H$9+L219*'02_假设与情景'!$H$10+M219*'02_假设与情景'!$H$11,0)</x:f>
        <x:v>7.75</x:v>
      </x:c>
      <x:c r="Q219" s="64" t="str">
        <x:f>IF(N219&lt;&gt;"PASS","不推荐-需再验证",IF(P219&gt;=8,"优先候选",IF(P219&gt;=7,"可询价","备选")))</x:f>
        <x:v>可询价</x:v>
      </x:c>
      <x:c r="R219" s="12" t="str">
        <x:v>SRC-028</x:v>
      </x:c>
      <x:c r="S219" s="12" t="str">
        <x:v>进入同规格询价和总拥有成本比较</x:v>
      </x:c>
    </x:row>
    <x:row r="220">
      <x:c r="A220" t="str">
        <x:v>ALT-215</x:v>
      </x:c>
      <x:c r="B220" t="str">
        <x:v>BOM-022</x:v>
      </x:c>
      <x:c r="C220" t="str">
        <x:v>产品、管体和外盒标签</x:v>
      </x:c>
      <x:c r="D220" t="str">
        <x:v>品质优选：头部品牌全服务包</x:v>
      </x:c>
      <x:c r="E220" t="str">
        <x:v>头部品牌/专业服务商</x:v>
      </x:c>
      <x:c r="F220" s="51" t="n">
        <x:v>0.5</x:v>
      </x:c>
      <x:c r="G220" s="51" t="n">
        <x:v>0.59</x:v>
      </x:c>
      <x:c r="H220" s="60" t="n">
        <x:f>IF(G220=0,0,MIN(10,10*F220/G220))</x:f>
        <x:v>8.474576271186441</x:v>
      </x:c>
      <x:c r="I220" s="53" t="n">
        <x:v>9</x:v>
      </x:c>
      <x:c r="J220" s="53" t="n">
        <x:v>9</x:v>
      </x:c>
      <x:c r="K220" s="53" t="n">
        <x:v>7</x:v>
      </x:c>
      <x:c r="L220" s="53" t="n">
        <x:v>9</x:v>
      </x:c>
      <x:c r="M220" s="53" t="n">
        <x:v>4</x:v>
      </x:c>
      <x:c r="N220" s="53" t="str">
        <x:v>PASS</x:v>
      </x:c>
      <x:c r="O220" s="62" t="str">
        <x:v>需核对规格、税费、安装和售后边界</x:v>
      </x:c>
      <x:c r="P220" s="63" t="n">
        <x:f>IF(N220="PASS",H220*'02_假设与情景'!$H$6+I220*'02_假设与情景'!$H$7+J220*'02_假设与情景'!$H$8+K220*'02_假设与情景'!$H$9+L220*'02_假设与情景'!$H$10+M220*'02_假设与情景'!$H$11,0)</x:f>
        <x:v>8.142372881355932</x:v>
      </x:c>
      <x:c r="Q220" s="64" t="str">
        <x:f>IF(N220&lt;&gt;"PASS","不推荐-需再验证",IF(P220&gt;=8,"优先候选",IF(P220&gt;=7,"可询价","备选")))</x:f>
        <x:v>优先候选</x:v>
      </x:c>
      <x:c r="R220" s="12" t="str">
        <x:v>SRC-028</x:v>
      </x:c>
      <x:c r="S220" s="12" t="str">
        <x:v>进入同规格询价和总拥有成本比较</x:v>
      </x:c>
    </x:row>
    <x:row r="221">
      <x:c r="A221" t="str">
        <x:v>ALT-216</x:v>
      </x:c>
      <x:c r="B221" t="str">
        <x:v>BOM-023</x:v>
      </x:c>
      <x:c r="C221" t="str">
        <x:v>防伪标签或数字码</x:v>
      </x:c>
      <x:c r="D221" t="str">
        <x:v>成本优选：同规格国产合规供应商双询价</x:v>
      </x:c>
      <x:c r="E221" t="str">
        <x:v>国产/本地供应链</x:v>
      </x:c>
      <x:c r="F221" s="51" t="n">
        <x:v>0.3</x:v>
      </x:c>
      <x:c r="G221" s="51" t="n">
        <x:v>0.255</x:v>
      </x:c>
      <x:c r="H221" s="60" t="n">
        <x:f>IF(G221=0,0,MIN(10,10*F221/G221))</x:f>
        <x:v>10</x:v>
      </x:c>
      <x:c r="I221" s="53" t="n">
        <x:v>7</x:v>
      </x:c>
      <x:c r="J221" s="53" t="n">
        <x:v>8</x:v>
      </x:c>
      <x:c r="K221" s="53" t="n">
        <x:v>8</x:v>
      </x:c>
      <x:c r="L221" s="53" t="n">
        <x:v>6</x:v>
      </x:c>
      <x:c r="M221" s="53" t="n">
        <x:v>4</x:v>
      </x:c>
      <x:c r="N221" s="53" t="str">
        <x:v>PASS</x:v>
      </x:c>
      <x:c r="O221" s="62" t="str">
        <x:v>需核对规格、税费、安装和售后边界</x:v>
      </x:c>
      <x:c r="P221" s="63" t="n">
        <x:f>IF(N221="PASS",H221*'02_假设与情景'!$H$6+I221*'02_假设与情景'!$H$7+J221*'02_假设与情景'!$H$8+K221*'02_假设与情景'!$H$9+L221*'02_假设与情景'!$H$10+M221*'02_假设与情景'!$H$11,0)</x:f>
        <x:v>7.75</x:v>
      </x:c>
      <x:c r="Q221" s="64" t="str">
        <x:f>IF(N221&lt;&gt;"PASS","不推荐-需再验证",IF(P221&gt;=8,"优先候选",IF(P221&gt;=7,"可询价","备选")))</x:f>
        <x:v>可询价</x:v>
      </x:c>
      <x:c r="R221" s="12" t="str">
        <x:v>SRC-028</x:v>
      </x:c>
      <x:c r="S221" s="12" t="str">
        <x:v>进入同规格询价和总拥有成本比较</x:v>
      </x:c>
    </x:row>
    <x:row r="222">
      <x:c r="A222" t="str">
        <x:v>ALT-217</x:v>
      </x:c>
      <x:c r="B222" t="str">
        <x:v>BOM-023</x:v>
      </x:c>
      <x:c r="C222" t="str">
        <x:v>防伪标签或数字码</x:v>
      </x:c>
      <x:c r="D222" t="str">
        <x:v>品质优选：头部品牌全服务包</x:v>
      </x:c>
      <x:c r="E222" t="str">
        <x:v>头部品牌/专业服务商</x:v>
      </x:c>
      <x:c r="F222" s="51" t="n">
        <x:v>0.3</x:v>
      </x:c>
      <x:c r="G222" s="51" t="n">
        <x:v>0.354</x:v>
      </x:c>
      <x:c r="H222" s="60" t="n">
        <x:f>IF(G222=0,0,MIN(10,10*F222/G222))</x:f>
        <x:v>8.474576271186441</x:v>
      </x:c>
      <x:c r="I222" s="53" t="n">
        <x:v>9</x:v>
      </x:c>
      <x:c r="J222" s="53" t="n">
        <x:v>9</x:v>
      </x:c>
      <x:c r="K222" s="53" t="n">
        <x:v>7</x:v>
      </x:c>
      <x:c r="L222" s="53" t="n">
        <x:v>9</x:v>
      </x:c>
      <x:c r="M222" s="53" t="n">
        <x:v>4</x:v>
      </x:c>
      <x:c r="N222" s="53" t="str">
        <x:v>PASS</x:v>
      </x:c>
      <x:c r="O222" s="62" t="str">
        <x:v>需核对规格、税费、安装和售后边界</x:v>
      </x:c>
      <x:c r="P222" s="63" t="n">
        <x:f>IF(N222="PASS",H222*'02_假设与情景'!$H$6+I222*'02_假设与情景'!$H$7+J222*'02_假设与情景'!$H$8+K222*'02_假设与情景'!$H$9+L222*'02_假设与情景'!$H$10+M222*'02_假设与情景'!$H$11,0)</x:f>
        <x:v>8.142372881355932</x:v>
      </x:c>
      <x:c r="Q222" s="64" t="str">
        <x:f>IF(N222&lt;&gt;"PASS","不推荐-需再验证",IF(P222&gt;=8,"优先候选",IF(P222&gt;=7,"可询价","备选")))</x:f>
        <x:v>优先候选</x:v>
      </x:c>
      <x:c r="R222" s="12" t="str">
        <x:v>SRC-028</x:v>
      </x:c>
      <x:c r="S222" s="12" t="str">
        <x:v>进入同规格询价和总拥有成本比较</x:v>
      </x:c>
    </x:row>
    <x:row r="223">
      <x:c r="A223" t="str">
        <x:v>ALT-218</x:v>
      </x:c>
      <x:c r="B223" t="str">
        <x:v>BOM-024</x:v>
      </x:c>
      <x:c r="C223" t="str">
        <x:v>试剂盒热缩膜</x:v>
      </x:c>
      <x:c r="D223" t="str">
        <x:v>成本优选：同规格国产合规供应商双询价</x:v>
      </x:c>
      <x:c r="E223" t="str">
        <x:v>国产/本地供应链</x:v>
      </x:c>
      <x:c r="F223" s="51" t="n">
        <x:v>0.2</x:v>
      </x:c>
      <x:c r="G223" s="51" t="n">
        <x:v>0.17</x:v>
      </x:c>
      <x:c r="H223" s="60" t="n">
        <x:f>IF(G223=0,0,MIN(10,10*F223/G223))</x:f>
        <x:v>10</x:v>
      </x:c>
      <x:c r="I223" s="53" t="n">
        <x:v>7</x:v>
      </x:c>
      <x:c r="J223" s="53" t="n">
        <x:v>8</x:v>
      </x:c>
      <x:c r="K223" s="53" t="n">
        <x:v>8</x:v>
      </x:c>
      <x:c r="L223" s="53" t="n">
        <x:v>6</x:v>
      </x:c>
      <x:c r="M223" s="53" t="n">
        <x:v>4</x:v>
      </x:c>
      <x:c r="N223" s="53" t="str">
        <x:v>PASS</x:v>
      </x:c>
      <x:c r="O223" s="62" t="str">
        <x:v>需核对规格、税费、安装和售后边界</x:v>
      </x:c>
      <x:c r="P223" s="63" t="n">
        <x:f>IF(N223="PASS",H223*'02_假设与情景'!$H$6+I223*'02_假设与情景'!$H$7+J223*'02_假设与情景'!$H$8+K223*'02_假设与情景'!$H$9+L223*'02_假设与情景'!$H$10+M223*'02_假设与情景'!$H$11,0)</x:f>
        <x:v>7.75</x:v>
      </x:c>
      <x:c r="Q223" s="64" t="str">
        <x:f>IF(N223&lt;&gt;"PASS","不推荐-需再验证",IF(P223&gt;=8,"优先候选",IF(P223&gt;=7,"可询价","备选")))</x:f>
        <x:v>可询价</x:v>
      </x:c>
      <x:c r="R223" s="12" t="str">
        <x:v>SRC-028</x:v>
      </x:c>
      <x:c r="S223" s="12" t="str">
        <x:v>进入同规格询价和总拥有成本比较</x:v>
      </x:c>
    </x:row>
    <x:row r="224">
      <x:c r="A224" t="str">
        <x:v>ALT-219</x:v>
      </x:c>
      <x:c r="B224" t="str">
        <x:v>BOM-024</x:v>
      </x:c>
      <x:c r="C224" t="str">
        <x:v>试剂盒热缩膜</x:v>
      </x:c>
      <x:c r="D224" t="str">
        <x:v>品质优选：头部品牌全服务包</x:v>
      </x:c>
      <x:c r="E224" t="str">
        <x:v>头部品牌/专业服务商</x:v>
      </x:c>
      <x:c r="F224" s="51" t="n">
        <x:v>0.2</x:v>
      </x:c>
      <x:c r="G224" s="51" t="n">
        <x:v>0.236</x:v>
      </x:c>
      <x:c r="H224" s="60" t="n">
        <x:f>IF(G224=0,0,MIN(10,10*F224/G224))</x:f>
        <x:v>8.474576271186441</x:v>
      </x:c>
      <x:c r="I224" s="53" t="n">
        <x:v>9</x:v>
      </x:c>
      <x:c r="J224" s="53" t="n">
        <x:v>9</x:v>
      </x:c>
      <x:c r="K224" s="53" t="n">
        <x:v>7</x:v>
      </x:c>
      <x:c r="L224" s="53" t="n">
        <x:v>9</x:v>
      </x:c>
      <x:c r="M224" s="53" t="n">
        <x:v>4</x:v>
      </x:c>
      <x:c r="N224" s="53" t="str">
        <x:v>PASS</x:v>
      </x:c>
      <x:c r="O224" s="62" t="str">
        <x:v>需核对规格、税费、安装和售后边界</x:v>
      </x:c>
      <x:c r="P224" s="63" t="n">
        <x:f>IF(N224="PASS",H224*'02_假设与情景'!$H$6+I224*'02_假设与情景'!$H$7+J224*'02_假设与情景'!$H$8+K224*'02_假设与情景'!$H$9+L224*'02_假设与情景'!$H$10+M224*'02_假设与情景'!$H$11,0)</x:f>
        <x:v>8.142372881355932</x:v>
      </x:c>
      <x:c r="Q224" s="64" t="str">
        <x:f>IF(N224&lt;&gt;"PASS","不推荐-需再验证",IF(P224&gt;=8,"优先候选",IF(P224&gt;=7,"可询价","备选")))</x:f>
        <x:v>优先候选</x:v>
      </x:c>
      <x:c r="R224" s="12" t="str">
        <x:v>SRC-028</x:v>
      </x:c>
      <x:c r="S224" s="12" t="str">
        <x:v>进入同规格询价和总拥有成本比较</x:v>
      </x:c>
    </x:row>
    <x:row r="225">
      <x:c r="A225" t="str">
        <x:v>ALT-220</x:v>
      </x:c>
      <x:c r="B225" t="str">
        <x:v>BOM-025</x:v>
      </x:c>
      <x:c r="C225" t="str">
        <x:v>DNase/RNase检测试剂</x:v>
      </x:c>
      <x:c r="D225" t="str">
        <x:v>成本优选：同规格国产合规供应商双询价</x:v>
      </x:c>
      <x:c r="E225" t="str">
        <x:v>国产/本地供应链</x:v>
      </x:c>
      <x:c r="F225" s="51" t="n">
        <x:v>1500</x:v>
      </x:c>
      <x:c r="G225" s="51" t="n">
        <x:v>1275</x:v>
      </x:c>
      <x:c r="H225" s="60" t="n">
        <x:f>IF(G225=0,0,MIN(10,10*F225/G225))</x:f>
        <x:v>10</x:v>
      </x:c>
      <x:c r="I225" s="53" t="n">
        <x:v>7</x:v>
      </x:c>
      <x:c r="J225" s="53" t="n">
        <x:v>8</x:v>
      </x:c>
      <x:c r="K225" s="53" t="n">
        <x:v>8</x:v>
      </x:c>
      <x:c r="L225" s="53" t="n">
        <x:v>6</x:v>
      </x:c>
      <x:c r="M225" s="53" t="n">
        <x:v>3</x:v>
      </x:c>
      <x:c r="N225" s="53" t="str">
        <x:v>PASS</x:v>
      </x:c>
      <x:c r="O225" s="62" t="str">
        <x:v>需核对规格、税费、安装和售后边界</x:v>
      </x:c>
      <x:c r="P225" s="63" t="n">
        <x:f>IF(N225="PASS",H225*'02_假设与情景'!$H$6+I225*'02_假设与情景'!$H$7+J225*'02_假设与情景'!$H$8+K225*'02_假设与情景'!$H$9+L225*'02_假设与情景'!$H$10+M225*'02_假设与情景'!$H$11,0)</x:f>
        <x:v>7.6499999999999995</x:v>
      </x:c>
      <x:c r="Q225" s="64" t="str">
        <x:f>IF(N225&lt;&gt;"PASS","不推荐-需再验证",IF(P225&gt;=8,"优先候选",IF(P225&gt;=7,"可询价","备选")))</x:f>
        <x:v>可询价</x:v>
      </x:c>
      <x:c r="R225" s="12" t="str">
        <x:v>SRC-031</x:v>
      </x:c>
      <x:c r="S225" s="12" t="str">
        <x:v>进入同规格询价和总拥有成本比较</x:v>
      </x:c>
    </x:row>
    <x:row r="226">
      <x:c r="A226" t="str">
        <x:v>ALT-221</x:v>
      </x:c>
      <x:c r="B226" t="str">
        <x:v>BOM-025</x:v>
      </x:c>
      <x:c r="C226" t="str">
        <x:v>DNase/RNase检测试剂</x:v>
      </x:c>
      <x:c r="D226" t="str">
        <x:v>品质优选：头部品牌全服务包</x:v>
      </x:c>
      <x:c r="E226" t="str">
        <x:v>头部品牌/专业服务商</x:v>
      </x:c>
      <x:c r="F226" s="51" t="n">
        <x:v>1500</x:v>
      </x:c>
      <x:c r="G226" s="51" t="n">
        <x:v>1770</x:v>
      </x:c>
      <x:c r="H226" s="60" t="n">
        <x:f>IF(G226=0,0,MIN(10,10*F226/G226))</x:f>
        <x:v>8.474576271186441</x:v>
      </x:c>
      <x:c r="I226" s="53" t="n">
        <x:v>9</x:v>
      </x:c>
      <x:c r="J226" s="53" t="n">
        <x:v>9</x:v>
      </x:c>
      <x:c r="K226" s="53" t="n">
        <x:v>7</x:v>
      </x:c>
      <x:c r="L226" s="53" t="n">
        <x:v>9</x:v>
      </x:c>
      <x:c r="M226" s="53" t="n">
        <x:v>3</x:v>
      </x:c>
      <x:c r="N226" s="53" t="str">
        <x:v>PASS</x:v>
      </x:c>
      <x:c r="O226" s="62" t="str">
        <x:v>需核对规格、税费、安装和售后边界</x:v>
      </x:c>
      <x:c r="P226" s="63" t="n">
        <x:f>IF(N226="PASS",H226*'02_假设与情景'!$H$6+I226*'02_假设与情景'!$H$7+J226*'02_假设与情景'!$H$8+K226*'02_假设与情景'!$H$9+L226*'02_假设与情景'!$H$10+M226*'02_假设与情景'!$H$11,0)</x:f>
        <x:v>8.042372881355933</x:v>
      </x:c>
      <x:c r="Q226" s="64" t="str">
        <x:f>IF(N226&lt;&gt;"PASS","不推荐-需再验证",IF(P226&gt;=8,"优先候选",IF(P226&gt;=7,"可询价","备选")))</x:f>
        <x:v>优先候选</x:v>
      </x:c>
      <x:c r="R226" s="12" t="str">
        <x:v>SRC-031</x:v>
      </x:c>
      <x:c r="S226" s="12" t="str">
        <x:v>进入同规格询价和总拥有成本比较</x:v>
      </x:c>
    </x:row>
    <x:row r="227">
      <x:c r="A227" t="str">
        <x:v>ALT-222</x:v>
      </x:c>
      <x:c r="B227" t="str">
        <x:v>BOM-026</x:v>
      </x:c>
      <x:c r="C227" t="str">
        <x:v>测序/质谱/HPLC样品检测耗材</x:v>
      </x:c>
      <x:c r="D227" t="str">
        <x:v>成本优选：同规格国产合规供应商双询价</x:v>
      </x:c>
      <x:c r="E227" t="str">
        <x:v>国产/本地供应链</x:v>
      </x:c>
      <x:c r="F227" s="51" t="n">
        <x:v>6000</x:v>
      </x:c>
      <x:c r="G227" s="51" t="n">
        <x:v>5100</x:v>
      </x:c>
      <x:c r="H227" s="60" t="n">
        <x:f>IF(G227=0,0,MIN(10,10*F227/G227))</x:f>
        <x:v>10</x:v>
      </x:c>
      <x:c r="I227" s="53" t="n">
        <x:v>7</x:v>
      </x:c>
      <x:c r="J227" s="53" t="n">
        <x:v>8</x:v>
      </x:c>
      <x:c r="K227" s="53" t="n">
        <x:v>8</x:v>
      </x:c>
      <x:c r="L227" s="53" t="n">
        <x:v>6</x:v>
      </x:c>
      <x:c r="M227" s="53" t="n">
        <x:v>3</x:v>
      </x:c>
      <x:c r="N227" s="53" t="str">
        <x:v>PASS</x:v>
      </x:c>
      <x:c r="O227" s="62" t="str">
        <x:v>需核对规格、税费、安装和售后边界</x:v>
      </x:c>
      <x:c r="P227" s="63" t="n">
        <x:f>IF(N227="PASS",H227*'02_假设与情景'!$H$6+I227*'02_假设与情景'!$H$7+J227*'02_假设与情景'!$H$8+K227*'02_假设与情景'!$H$9+L227*'02_假设与情景'!$H$10+M227*'02_假设与情景'!$H$11,0)</x:f>
        <x:v>7.6499999999999995</x:v>
      </x:c>
      <x:c r="Q227" s="64" t="str">
        <x:f>IF(N227&lt;&gt;"PASS","不推荐-需再验证",IF(P227&gt;=8,"优先候选",IF(P227&gt;=7,"可询价","备选")))</x:f>
        <x:v>可询价</x:v>
      </x:c>
      <x:c r="R227" s="12" t="str">
        <x:v>SRC-006, SRC-031</x:v>
      </x:c>
      <x:c r="S227" s="12" t="str">
        <x:v>进入同规格询价和总拥有成本比较</x:v>
      </x:c>
    </x:row>
    <x:row r="228">
      <x:c r="A228" t="str">
        <x:v>ALT-223</x:v>
      </x:c>
      <x:c r="B228" t="str">
        <x:v>BOM-026</x:v>
      </x:c>
      <x:c r="C228" t="str">
        <x:v>测序/质谱/HPLC样品检测耗材</x:v>
      </x:c>
      <x:c r="D228" t="str">
        <x:v>品质优选：头部品牌全服务包</x:v>
      </x:c>
      <x:c r="E228" t="str">
        <x:v>头部品牌/专业服务商</x:v>
      </x:c>
      <x:c r="F228" s="51" t="n">
        <x:v>6000</x:v>
      </x:c>
      <x:c r="G228" s="51" t="n">
        <x:v>7080</x:v>
      </x:c>
      <x:c r="H228" s="60" t="n">
        <x:f>IF(G228=0,0,MIN(10,10*F228/G228))</x:f>
        <x:v>8.474576271186441</x:v>
      </x:c>
      <x:c r="I228" s="53" t="n">
        <x:v>9</x:v>
      </x:c>
      <x:c r="J228" s="53" t="n">
        <x:v>9</x:v>
      </x:c>
      <x:c r="K228" s="53" t="n">
        <x:v>7</x:v>
      </x:c>
      <x:c r="L228" s="53" t="n">
        <x:v>9</x:v>
      </x:c>
      <x:c r="M228" s="53" t="n">
        <x:v>3</x:v>
      </x:c>
      <x:c r="N228" s="53" t="str">
        <x:v>PASS</x:v>
      </x:c>
      <x:c r="O228" s="62" t="str">
        <x:v>需核对规格、税费、安装和售后边界</x:v>
      </x:c>
      <x:c r="P228" s="63" t="n">
        <x:f>IF(N228="PASS",H228*'02_假设与情景'!$H$6+I228*'02_假设与情景'!$H$7+J228*'02_假设与情景'!$H$8+K228*'02_假设与情景'!$H$9+L228*'02_假设与情景'!$H$10+M228*'02_假设与情景'!$H$11,0)</x:f>
        <x:v>8.042372881355933</x:v>
      </x:c>
      <x:c r="Q228" s="64" t="str">
        <x:f>IF(N228&lt;&gt;"PASS","不推荐-需再验证",IF(P228&gt;=8,"优先候选",IF(P228&gt;=7,"可询价","备选")))</x:f>
        <x:v>优先候选</x:v>
      </x:c>
      <x:c r="R228" s="12" t="str">
        <x:v>SRC-006, SRC-031</x:v>
      </x:c>
      <x:c r="S228" s="12" t="str">
        <x:v>进入同规格询价和总拥有成本比较</x:v>
      </x:c>
    </x:row>
    <x:row r="229">
      <x:c r="A229" t="str">
        <x:v>ALT-224</x:v>
      </x:c>
      <x:c r="B229" t="str">
        <x:v>BOM-027</x:v>
      </x:c>
      <x:c r="C229" t="str">
        <x:v>qPCR性能检测试剂及板管</x:v>
      </x:c>
      <x:c r="D229" t="str">
        <x:v>成本优选：同规格国产合规供应商双询价</x:v>
      </x:c>
      <x:c r="E229" t="str">
        <x:v>国产/本地供应链</x:v>
      </x:c>
      <x:c r="F229" s="51" t="n">
        <x:v>5000</x:v>
      </x:c>
      <x:c r="G229" s="51" t="n">
        <x:v>4250</x:v>
      </x:c>
      <x:c r="H229" s="60" t="n">
        <x:f>IF(G229=0,0,MIN(10,10*F229/G229))</x:f>
        <x:v>10</x:v>
      </x:c>
      <x:c r="I229" s="53" t="n">
        <x:v>7</x:v>
      </x:c>
      <x:c r="J229" s="53" t="n">
        <x:v>8</x:v>
      </x:c>
      <x:c r="K229" s="53" t="n">
        <x:v>8</x:v>
      </x:c>
      <x:c r="L229" s="53" t="n">
        <x:v>6</x:v>
      </x:c>
      <x:c r="M229" s="53" t="n">
        <x:v>3</x:v>
      </x:c>
      <x:c r="N229" s="53" t="str">
        <x:v>PASS</x:v>
      </x:c>
      <x:c r="O229" s="62" t="str">
        <x:v>需核对规格、税费、安装和售后边界</x:v>
      </x:c>
      <x:c r="P229" s="63" t="n">
        <x:f>IF(N229="PASS",H229*'02_假设与情景'!$H$6+I229*'02_假设与情景'!$H$7+J229*'02_假设与情景'!$H$8+K229*'02_假设与情景'!$H$9+L229*'02_假设与情景'!$H$10+M229*'02_假设与情景'!$H$11,0)</x:f>
        <x:v>7.6499999999999995</x:v>
      </x:c>
      <x:c r="Q229" s="64" t="str">
        <x:f>IF(N229&lt;&gt;"PASS","不推荐-需再验证",IF(P229&gt;=8,"优先候选",IF(P229&gt;=7,"可询价","备选")))</x:f>
        <x:v>可询价</x:v>
      </x:c>
      <x:c r="R229" s="12" t="str">
        <x:v>SRC-007, SRC-008</x:v>
      </x:c>
      <x:c r="S229" s="12" t="str">
        <x:v>进入同规格询价和总拥有成本比较</x:v>
      </x:c>
    </x:row>
    <x:row r="230">
      <x:c r="A230" t="str">
        <x:v>ALT-225</x:v>
      </x:c>
      <x:c r="B230" t="str">
        <x:v>BOM-027</x:v>
      </x:c>
      <x:c r="C230" t="str">
        <x:v>qPCR性能检测试剂及板管</x:v>
      </x:c>
      <x:c r="D230" t="str">
        <x:v>品质优选：头部品牌全服务包</x:v>
      </x:c>
      <x:c r="E230" t="str">
        <x:v>头部品牌/专业服务商</x:v>
      </x:c>
      <x:c r="F230" s="51" t="n">
        <x:v>5000</x:v>
      </x:c>
      <x:c r="G230" s="51" t="n">
        <x:v>5900</x:v>
      </x:c>
      <x:c r="H230" s="60" t="n">
        <x:f>IF(G230=0,0,MIN(10,10*F230/G230))</x:f>
        <x:v>8.474576271186441</x:v>
      </x:c>
      <x:c r="I230" s="53" t="n">
        <x:v>9</x:v>
      </x:c>
      <x:c r="J230" s="53" t="n">
        <x:v>9</x:v>
      </x:c>
      <x:c r="K230" s="53" t="n">
        <x:v>7</x:v>
      </x:c>
      <x:c r="L230" s="53" t="n">
        <x:v>9</x:v>
      </x:c>
      <x:c r="M230" s="53" t="n">
        <x:v>3</x:v>
      </x:c>
      <x:c r="N230" s="53" t="str">
        <x:v>PASS</x:v>
      </x:c>
      <x:c r="O230" s="62" t="str">
        <x:v>需核对规格、税费、安装和售后边界</x:v>
      </x:c>
      <x:c r="P230" s="63" t="n">
        <x:f>IF(N230="PASS",H230*'02_假设与情景'!$H$6+I230*'02_假设与情景'!$H$7+J230*'02_假设与情景'!$H$8+K230*'02_假设与情景'!$H$9+L230*'02_假设与情景'!$H$10+M230*'02_假设与情景'!$H$11,0)</x:f>
        <x:v>8.042372881355933</x:v>
      </x:c>
      <x:c r="Q230" s="64" t="str">
        <x:f>IF(N230&lt;&gt;"PASS","不推荐-需再验证",IF(P230&gt;=8,"优先候选",IF(P230&gt;=7,"可询价","备选")))</x:f>
        <x:v>优先候选</x:v>
      </x:c>
      <x:c r="R230" s="12" t="str">
        <x:v>SRC-007, SRC-008</x:v>
      </x:c>
      <x:c r="S230" s="12" t="str">
        <x:v>进入同规格询价和总拥有成本比较</x:v>
      </x:c>
    </x:row>
    <x:row r="231">
      <x:c r="A231" t="str">
        <x:v>ALT-226</x:v>
      </x:c>
      <x:c r="B231" t="str">
        <x:v>BOM-028</x:v>
      </x:c>
      <x:c r="C231" t="str">
        <x:v>琼脂糖电泳与成像耗材</x:v>
      </x:c>
      <x:c r="D231" t="str">
        <x:v>成本优选：同规格国产合规供应商双询价</x:v>
      </x:c>
      <x:c r="E231" t="str">
        <x:v>国产/本地供应链</x:v>
      </x:c>
      <x:c r="F231" s="51" t="n">
        <x:v>1500</x:v>
      </x:c>
      <x:c r="G231" s="51" t="n">
        <x:v>1275</x:v>
      </x:c>
      <x:c r="H231" s="60" t="n">
        <x:f>IF(G231=0,0,MIN(10,10*F231/G231))</x:f>
        <x:v>10</x:v>
      </x:c>
      <x:c r="I231" s="53" t="n">
        <x:v>7</x:v>
      </x:c>
      <x:c r="J231" s="53" t="n">
        <x:v>8</x:v>
      </x:c>
      <x:c r="K231" s="53" t="n">
        <x:v>8</x:v>
      </x:c>
      <x:c r="L231" s="53" t="n">
        <x:v>6</x:v>
      </x:c>
      <x:c r="M231" s="53" t="n">
        <x:v>3</x:v>
      </x:c>
      <x:c r="N231" s="53" t="str">
        <x:v>PASS</x:v>
      </x:c>
      <x:c r="O231" s="62" t="str">
        <x:v>需核对规格、税费、安装和售后边界</x:v>
      </x:c>
      <x:c r="P231" s="63" t="n">
        <x:f>IF(N231="PASS",H231*'02_假设与情景'!$H$6+I231*'02_假设与情景'!$H$7+J231*'02_假设与情景'!$H$8+K231*'02_假设与情景'!$H$9+L231*'02_假设与情景'!$H$10+M231*'02_假设与情景'!$H$11,0)</x:f>
        <x:v>7.6499999999999995</x:v>
      </x:c>
      <x:c r="Q231" s="64" t="str">
        <x:f>IF(N231&lt;&gt;"PASS","不推荐-需再验证",IF(P231&gt;=8,"优先候选",IF(P231&gt;=7,"可询价","备选")))</x:f>
        <x:v>可询价</x:v>
      </x:c>
      <x:c r="R231" s="12" t="str">
        <x:v>SRC-028</x:v>
      </x:c>
      <x:c r="S231" s="12" t="str">
        <x:v>进入同规格询价和总拥有成本比较</x:v>
      </x:c>
    </x:row>
    <x:row r="232">
      <x:c r="A232" t="str">
        <x:v>ALT-227</x:v>
      </x:c>
      <x:c r="B232" t="str">
        <x:v>BOM-028</x:v>
      </x:c>
      <x:c r="C232" t="str">
        <x:v>琼脂糖电泳与成像耗材</x:v>
      </x:c>
      <x:c r="D232" t="str">
        <x:v>品质优选：头部品牌全服务包</x:v>
      </x:c>
      <x:c r="E232" t="str">
        <x:v>头部品牌/专业服务商</x:v>
      </x:c>
      <x:c r="F232" s="51" t="n">
        <x:v>1500</x:v>
      </x:c>
      <x:c r="G232" s="51" t="n">
        <x:v>1770</x:v>
      </x:c>
      <x:c r="H232" s="60" t="n">
        <x:f>IF(G232=0,0,MIN(10,10*F232/G232))</x:f>
        <x:v>8.474576271186441</x:v>
      </x:c>
      <x:c r="I232" s="53" t="n">
        <x:v>9</x:v>
      </x:c>
      <x:c r="J232" s="53" t="n">
        <x:v>9</x:v>
      </x:c>
      <x:c r="K232" s="53" t="n">
        <x:v>7</x:v>
      </x:c>
      <x:c r="L232" s="53" t="n">
        <x:v>9</x:v>
      </x:c>
      <x:c r="M232" s="53" t="n">
        <x:v>3</x:v>
      </x:c>
      <x:c r="N232" s="53" t="str">
        <x:v>PASS</x:v>
      </x:c>
      <x:c r="O232" s="62" t="str">
        <x:v>需核对规格、税费、安装和售后边界</x:v>
      </x:c>
      <x:c r="P232" s="63" t="n">
        <x:f>IF(N232="PASS",H232*'02_假设与情景'!$H$6+I232*'02_假设与情景'!$H$7+J232*'02_假设与情景'!$H$8+K232*'02_假设与情景'!$H$9+L232*'02_假设与情景'!$H$10+M232*'02_假设与情景'!$H$11,0)</x:f>
        <x:v>8.042372881355933</x:v>
      </x:c>
      <x:c r="Q232" s="64" t="str">
        <x:f>IF(N232&lt;&gt;"PASS","不推荐-需再验证",IF(P232&gt;=8,"优先候选",IF(P232&gt;=7,"可询价","备选")))</x:f>
        <x:v>优先候选</x:v>
      </x:c>
      <x:c r="R232" s="12" t="str">
        <x:v>SRC-028</x:v>
      </x:c>
      <x:c r="S232" s="12" t="str">
        <x:v>进入同规格询价和总拥有成本比较</x:v>
      </x:c>
    </x:row>
    <x:row r="233">
      <x:c r="A233" t="str">
        <x:v>ALT-228</x:v>
      </x:c>
      <x:c r="B233" t="str">
        <x:v>BOM-029</x:v>
      </x:c>
      <x:c r="C233" t="str">
        <x:v>0.1% VAF梯度稀释耗材</x:v>
      </x:c>
      <x:c r="D233" t="str">
        <x:v>成本优选：同规格国产合规供应商双询价</x:v>
      </x:c>
      <x:c r="E233" t="str">
        <x:v>国产/本地供应链</x:v>
      </x:c>
      <x:c r="F233" s="51" t="n">
        <x:v>1200</x:v>
      </x:c>
      <x:c r="G233" s="51" t="n">
        <x:v>1020</x:v>
      </x:c>
      <x:c r="H233" s="60" t="n">
        <x:f>IF(G233=0,0,MIN(10,10*F233/G233))</x:f>
        <x:v>10</x:v>
      </x:c>
      <x:c r="I233" s="53" t="n">
        <x:v>7</x:v>
      </x:c>
      <x:c r="J233" s="53" t="n">
        <x:v>8</x:v>
      </x:c>
      <x:c r="K233" s="53" t="n">
        <x:v>8</x:v>
      </x:c>
      <x:c r="L233" s="53" t="n">
        <x:v>6</x:v>
      </x:c>
      <x:c r="M233" s="53" t="n">
        <x:v>3</x:v>
      </x:c>
      <x:c r="N233" s="53" t="str">
        <x:v>PASS</x:v>
      </x:c>
      <x:c r="O233" s="62" t="str">
        <x:v>需核对规格、税费、安装和售后边界</x:v>
      </x:c>
      <x:c r="P233" s="63" t="n">
        <x:f>IF(N233="PASS",H233*'02_假设与情景'!$H$6+I233*'02_假设与情景'!$H$7+J233*'02_假设与情景'!$H$8+K233*'02_假设与情景'!$H$9+L233*'02_假设与情景'!$H$10+M233*'02_假设与情景'!$H$11,0)</x:f>
        <x:v>7.6499999999999995</x:v>
      </x:c>
      <x:c r="Q233" s="64" t="str">
        <x:f>IF(N233&lt;&gt;"PASS","不推荐-需再验证",IF(P233&gt;=8,"优先候选",IF(P233&gt;=7,"可询价","备选")))</x:f>
        <x:v>可询价</x:v>
      </x:c>
      <x:c r="R233" s="12" t="str">
        <x:v>SRC-028</x:v>
      </x:c>
      <x:c r="S233" s="12" t="str">
        <x:v>进入同规格询价和总拥有成本比较</x:v>
      </x:c>
    </x:row>
    <x:row r="234">
      <x:c r="A234" t="str">
        <x:v>ALT-229</x:v>
      </x:c>
      <x:c r="B234" t="str">
        <x:v>BOM-029</x:v>
      </x:c>
      <x:c r="C234" t="str">
        <x:v>0.1% VAF梯度稀释耗材</x:v>
      </x:c>
      <x:c r="D234" t="str">
        <x:v>品质优选：头部品牌全服务包</x:v>
      </x:c>
      <x:c r="E234" t="str">
        <x:v>头部品牌/专业服务商</x:v>
      </x:c>
      <x:c r="F234" s="51" t="n">
        <x:v>1200</x:v>
      </x:c>
      <x:c r="G234" s="51" t="n">
        <x:v>1416</x:v>
      </x:c>
      <x:c r="H234" s="60" t="n">
        <x:f>IF(G234=0,0,MIN(10,10*F234/G234))</x:f>
        <x:v>8.474576271186441</x:v>
      </x:c>
      <x:c r="I234" s="53" t="n">
        <x:v>9</x:v>
      </x:c>
      <x:c r="J234" s="53" t="n">
        <x:v>9</x:v>
      </x:c>
      <x:c r="K234" s="53" t="n">
        <x:v>7</x:v>
      </x:c>
      <x:c r="L234" s="53" t="n">
        <x:v>9</x:v>
      </x:c>
      <x:c r="M234" s="53" t="n">
        <x:v>3</x:v>
      </x:c>
      <x:c r="N234" s="53" t="str">
        <x:v>PASS</x:v>
      </x:c>
      <x:c r="O234" s="62" t="str">
        <x:v>需核对规格、税费、安装和售后边界</x:v>
      </x:c>
      <x:c r="P234" s="63" t="n">
        <x:f>IF(N234="PASS",H234*'02_假设与情景'!$H$6+I234*'02_假设与情景'!$H$7+J234*'02_假设与情景'!$H$8+K234*'02_假设与情景'!$H$9+L234*'02_假设与情景'!$H$10+M234*'02_假设与情景'!$H$11,0)</x:f>
        <x:v>8.042372881355933</x:v>
      </x:c>
      <x:c r="Q234" s="64" t="str">
        <x:f>IF(N234&lt;&gt;"PASS","不推荐-需再验证",IF(P234&gt;=8,"优先候选",IF(P234&gt;=7,"可询价","备选")))</x:f>
        <x:v>优先候选</x:v>
      </x:c>
      <x:c r="R234" s="12" t="str">
        <x:v>SRC-028</x:v>
      </x:c>
      <x:c r="S234" s="12" t="str">
        <x:v>进入同规格询价和总拥有成本比较</x:v>
      </x:c>
    </x:row>
    <x:row r="235">
      <x:c r="A235" t="str">
        <x:v>ALT-230</x:v>
      </x:c>
      <x:c r="B235" t="str">
        <x:v>BOM-030</x:v>
      </x:c>
      <x:c r="C235" t="str">
        <x:v>温度、荧光、移液和称量校准材料</x:v>
      </x:c>
      <x:c r="D235" t="str">
        <x:v>成本优选：同规格国产合规供应商双询价</x:v>
      </x:c>
      <x:c r="E235" t="str">
        <x:v>国产/本地供应链</x:v>
      </x:c>
      <x:c r="F235" s="51" t="n">
        <x:v>80000</x:v>
      </x:c>
      <x:c r="G235" s="51" t="n">
        <x:v>68000</x:v>
      </x:c>
      <x:c r="H235" s="60" t="n">
        <x:f>IF(G235=0,0,MIN(10,10*F235/G235))</x:f>
        <x:v>10</x:v>
      </x:c>
      <x:c r="I235" s="53" t="n">
        <x:v>7</x:v>
      </x:c>
      <x:c r="J235" s="53" t="n">
        <x:v>8</x:v>
      </x:c>
      <x:c r="K235" s="53" t="n">
        <x:v>8</x:v>
      </x:c>
      <x:c r="L235" s="53" t="n">
        <x:v>6</x:v>
      </x:c>
      <x:c r="M235" s="53" t="n">
        <x:v>2</x:v>
      </x:c>
      <x:c r="N235" s="53" t="str">
        <x:v>PASS</x:v>
      </x:c>
      <x:c r="O235" s="62" t="str">
        <x:v>需核对规格、税费、安装和售后边界</x:v>
      </x:c>
      <x:c r="P235" s="63" t="n">
        <x:f>IF(N235="PASS",H235*'02_假设与情景'!$H$6+I235*'02_假设与情景'!$H$7+J235*'02_假设与情景'!$H$8+K235*'02_假设与情景'!$H$9+L235*'02_假设与情景'!$H$10+M235*'02_假设与情景'!$H$11,0)</x:f>
        <x:v>7.55</x:v>
      </x:c>
      <x:c r="Q235" s="64" t="str">
        <x:f>IF(N235&lt;&gt;"PASS","不推荐-需再验证",IF(P235&gt;=8,"优先候选",IF(P235&gt;=7,"可询价","备选")))</x:f>
        <x:v>可询价</x:v>
      </x:c>
      <x:c r="R235" s="12" t="str">
        <x:v>SRC-031</x:v>
      </x:c>
      <x:c r="S235" s="12" t="str">
        <x:v>进入同规格询价和总拥有成本比较</x:v>
      </x:c>
    </x:row>
    <x:row r="236">
      <x:c r="A236" t="str">
        <x:v>ALT-231</x:v>
      </x:c>
      <x:c r="B236" t="str">
        <x:v>BOM-030</x:v>
      </x:c>
      <x:c r="C236" t="str">
        <x:v>温度、荧光、移液和称量校准材料</x:v>
      </x:c>
      <x:c r="D236" t="str">
        <x:v>品质优选：头部品牌全服务包</x:v>
      </x:c>
      <x:c r="E236" t="str">
        <x:v>头部品牌/专业服务商</x:v>
      </x:c>
      <x:c r="F236" s="51" t="n">
        <x:v>80000</x:v>
      </x:c>
      <x:c r="G236" s="51" t="n">
        <x:v>94400</x:v>
      </x:c>
      <x:c r="H236" s="60" t="n">
        <x:f>IF(G236=0,0,MIN(10,10*F236/G236))</x:f>
        <x:v>8.474576271186441</x:v>
      </x:c>
      <x:c r="I236" s="53" t="n">
        <x:v>9</x:v>
      </x:c>
      <x:c r="J236" s="53" t="n">
        <x:v>9</x:v>
      </x:c>
      <x:c r="K236" s="53" t="n">
        <x:v>7</x:v>
      </x:c>
      <x:c r="L236" s="53" t="n">
        <x:v>9</x:v>
      </x:c>
      <x:c r="M236" s="53" t="n">
        <x:v>3</x:v>
      </x:c>
      <x:c r="N236" s="53" t="str">
        <x:v>PASS</x:v>
      </x:c>
      <x:c r="O236" s="62" t="str">
        <x:v>需核对规格、税费、安装和售后边界</x:v>
      </x:c>
      <x:c r="P236" s="63" t="n">
        <x:f>IF(N236="PASS",H236*'02_假设与情景'!$H$6+I236*'02_假设与情景'!$H$7+J236*'02_假设与情景'!$H$8+K236*'02_假设与情景'!$H$9+L236*'02_假设与情景'!$H$10+M236*'02_假设与情景'!$H$11,0)</x:f>
        <x:v>8.042372881355933</x:v>
      </x:c>
      <x:c r="Q236" s="64" t="str">
        <x:f>IF(N236&lt;&gt;"PASS","不推荐-需再验证",IF(P236&gt;=8,"优先候选",IF(P236&gt;=7,"可询价","备选")))</x:f>
        <x:v>优先候选</x:v>
      </x:c>
      <x:c r="R236" s="12" t="str">
        <x:v>SRC-031</x:v>
      </x:c>
      <x:c r="S236" s="12" t="str">
        <x:v>进入同规格询价和总拥有成本比较</x:v>
      </x:c>
    </x:row>
    <x:row r="237">
      <x:c r="A237" t="str">
        <x:v>ALT-232</x:v>
      </x:c>
      <x:c r="B237" t="str">
        <x:v>BOM-031</x:v>
      </x:c>
      <x:c r="C237" t="str">
        <x:v>吸头、离心管、样品管和移液槽</x:v>
      </x:c>
      <x:c r="D237" t="str">
        <x:v>成本优选：同规格国产合规供应商双询价</x:v>
      </x:c>
      <x:c r="E237" t="str">
        <x:v>国产/本地供应链</x:v>
      </x:c>
      <x:c r="F237" s="51" t="n">
        <x:v>180</x:v>
      </x:c>
      <x:c r="G237" s="51" t="n">
        <x:v>153</x:v>
      </x:c>
      <x:c r="H237" s="60" t="n">
        <x:f>IF(G237=0,0,MIN(10,10*F237/G237))</x:f>
        <x:v>10</x:v>
      </x:c>
      <x:c r="I237" s="53" t="n">
        <x:v>7</x:v>
      </x:c>
      <x:c r="J237" s="53" t="n">
        <x:v>8</x:v>
      </x:c>
      <x:c r="K237" s="53" t="n">
        <x:v>8</x:v>
      </x:c>
      <x:c r="L237" s="53" t="n">
        <x:v>6</x:v>
      </x:c>
      <x:c r="M237" s="53" t="n">
        <x:v>4</x:v>
      </x:c>
      <x:c r="N237" s="53" t="str">
        <x:v>PASS</x:v>
      </x:c>
      <x:c r="O237" s="62" t="str">
        <x:v>需核对规格、税费、安装和售后边界</x:v>
      </x:c>
      <x:c r="P237" s="63" t="n">
        <x:f>IF(N237="PASS",H237*'02_假设与情景'!$H$6+I237*'02_假设与情景'!$H$7+J237*'02_假设与情景'!$H$8+K237*'02_假设与情景'!$H$9+L237*'02_假设与情景'!$H$10+M237*'02_假设与情景'!$H$11,0)</x:f>
        <x:v>7.75</x:v>
      </x:c>
      <x:c r="Q237" s="64" t="str">
        <x:f>IF(N237&lt;&gt;"PASS","不推荐-需再验证",IF(P237&gt;=8,"优先候选",IF(P237&gt;=7,"可询价","备选")))</x:f>
        <x:v>可询价</x:v>
      </x:c>
      <x:c r="R237" s="12" t="str">
        <x:v>SRC-028</x:v>
      </x:c>
      <x:c r="S237" s="12" t="str">
        <x:v>进入同规格询价和总拥有成本比较</x:v>
      </x:c>
    </x:row>
    <x:row r="238">
      <x:c r="A238" t="str">
        <x:v>ALT-233</x:v>
      </x:c>
      <x:c r="B238" t="str">
        <x:v>BOM-031</x:v>
      </x:c>
      <x:c r="C238" t="str">
        <x:v>吸头、离心管、样品管和移液槽</x:v>
      </x:c>
      <x:c r="D238" t="str">
        <x:v>品质优选：头部品牌全服务包</x:v>
      </x:c>
      <x:c r="E238" t="str">
        <x:v>头部品牌/专业服务商</x:v>
      </x:c>
      <x:c r="F238" s="51" t="n">
        <x:v>180</x:v>
      </x:c>
      <x:c r="G238" s="51" t="n">
        <x:v>212.4</x:v>
      </x:c>
      <x:c r="H238" s="60" t="n">
        <x:f>IF(G238=0,0,MIN(10,10*F238/G238))</x:f>
        <x:v>8.474576271186441</x:v>
      </x:c>
      <x:c r="I238" s="53" t="n">
        <x:v>9</x:v>
      </x:c>
      <x:c r="J238" s="53" t="n">
        <x:v>9</x:v>
      </x:c>
      <x:c r="K238" s="53" t="n">
        <x:v>7</x:v>
      </x:c>
      <x:c r="L238" s="53" t="n">
        <x:v>9</x:v>
      </x:c>
      <x:c r="M238" s="53" t="n">
        <x:v>4</x:v>
      </x:c>
      <x:c r="N238" s="53" t="str">
        <x:v>PASS</x:v>
      </x:c>
      <x:c r="O238" s="62" t="str">
        <x:v>需核对规格、税费、安装和售后边界</x:v>
      </x:c>
      <x:c r="P238" s="63" t="n">
        <x:f>IF(N238="PASS",H238*'02_假设与情景'!$H$6+I238*'02_假设与情景'!$H$7+J238*'02_假设与情景'!$H$8+K238*'02_假设与情景'!$H$9+L238*'02_假设与情景'!$H$10+M238*'02_假设与情景'!$H$11,0)</x:f>
        <x:v>8.142372881355932</x:v>
      </x:c>
      <x:c r="Q238" s="64" t="str">
        <x:f>IF(N238&lt;&gt;"PASS","不推荐-需再验证",IF(P238&gt;=8,"优先候选",IF(P238&gt;=7,"可询价","备选")))</x:f>
        <x:v>优先候选</x:v>
      </x:c>
      <x:c r="R238" s="12" t="str">
        <x:v>SRC-028</x:v>
      </x:c>
      <x:c r="S238" s="12" t="str">
        <x:v>进入同规格询价和总拥有成本比较</x:v>
      </x:c>
    </x:row>
    <x:row r="239">
      <x:c r="A239" t="str">
        <x:v>ALT-234</x:v>
      </x:c>
      <x:c r="B239" t="str">
        <x:v>BOM-032</x:v>
      </x:c>
      <x:c r="C239" t="str">
        <x:v>洁净区清洁剂、消毒剂和擦拭材料</x:v>
      </x:c>
      <x:c r="D239" t="str">
        <x:v>成本优选：同规格国产合规供应商双询价</x:v>
      </x:c>
      <x:c r="E239" t="str">
        <x:v>国产/本地供应链</x:v>
      </x:c>
      <x:c r="F239" s="51" t="n">
        <x:v>12000</x:v>
      </x:c>
      <x:c r="G239" s="51" t="n">
        <x:v>10200</x:v>
      </x:c>
      <x:c r="H239" s="60" t="n">
        <x:f>IF(G239=0,0,MIN(10,10*F239/G239))</x:f>
        <x:v>10</x:v>
      </x:c>
      <x:c r="I239" s="53" t="n">
        <x:v>7</x:v>
      </x:c>
      <x:c r="J239" s="53" t="n">
        <x:v>8</x:v>
      </x:c>
      <x:c r="K239" s="53" t="n">
        <x:v>8</x:v>
      </x:c>
      <x:c r="L239" s="53" t="n">
        <x:v>6</x:v>
      </x:c>
      <x:c r="M239" s="53" t="n">
        <x:v>3</x:v>
      </x:c>
      <x:c r="N239" s="53" t="str">
        <x:v>PASS</x:v>
      </x:c>
      <x:c r="O239" s="62" t="str">
        <x:v>需核对规格、税费、安装和售后边界</x:v>
      </x:c>
      <x:c r="P239" s="63" t="n">
        <x:f>IF(N239="PASS",H239*'02_假设与情景'!$H$6+I239*'02_假设与情景'!$H$7+J239*'02_假设与情景'!$H$8+K239*'02_假设与情景'!$H$9+L239*'02_假设与情景'!$H$10+M239*'02_假设与情景'!$H$11,0)</x:f>
        <x:v>7.6499999999999995</x:v>
      </x:c>
      <x:c r="Q239" s="64" t="str">
        <x:f>IF(N239&lt;&gt;"PASS","不推荐-需再验证",IF(P239&gt;=8,"优先候选",IF(P239&gt;=7,"可询价","备选")))</x:f>
        <x:v>可询价</x:v>
      </x:c>
      <x:c r="R239" s="12" t="str">
        <x:v>SRC-028</x:v>
      </x:c>
      <x:c r="S239" s="12" t="str">
        <x:v>进入同规格询价和总拥有成本比较</x:v>
      </x:c>
    </x:row>
    <x:row r="240">
      <x:c r="A240" t="str">
        <x:v>ALT-235</x:v>
      </x:c>
      <x:c r="B240" t="str">
        <x:v>BOM-032</x:v>
      </x:c>
      <x:c r="C240" t="str">
        <x:v>洁净区清洁剂、消毒剂和擦拭材料</x:v>
      </x:c>
      <x:c r="D240" t="str">
        <x:v>品质优选：头部品牌全服务包</x:v>
      </x:c>
      <x:c r="E240" t="str">
        <x:v>头部品牌/专业服务商</x:v>
      </x:c>
      <x:c r="F240" s="51" t="n">
        <x:v>12000</x:v>
      </x:c>
      <x:c r="G240" s="51" t="n">
        <x:v>14160</x:v>
      </x:c>
      <x:c r="H240" s="60" t="n">
        <x:f>IF(G240=0,0,MIN(10,10*F240/G240))</x:f>
        <x:v>8.474576271186441</x:v>
      </x:c>
      <x:c r="I240" s="53" t="n">
        <x:v>9</x:v>
      </x:c>
      <x:c r="J240" s="53" t="n">
        <x:v>9</x:v>
      </x:c>
      <x:c r="K240" s="53" t="n">
        <x:v>7</x:v>
      </x:c>
      <x:c r="L240" s="53" t="n">
        <x:v>9</x:v>
      </x:c>
      <x:c r="M240" s="53" t="n">
        <x:v>3</x:v>
      </x:c>
      <x:c r="N240" s="53" t="str">
        <x:v>PASS</x:v>
      </x:c>
      <x:c r="O240" s="62" t="str">
        <x:v>需核对规格、税费、安装和售后边界</x:v>
      </x:c>
      <x:c r="P240" s="63" t="n">
        <x:f>IF(N240="PASS",H240*'02_假设与情景'!$H$6+I240*'02_假设与情景'!$H$7+J240*'02_假设与情景'!$H$8+K240*'02_假设与情景'!$H$9+L240*'02_假设与情景'!$H$10+M240*'02_假设与情景'!$H$11,0)</x:f>
        <x:v>8.042372881355933</x:v>
      </x:c>
      <x:c r="Q240" s="64" t="str">
        <x:f>IF(N240&lt;&gt;"PASS","不推荐-需再验证",IF(P240&gt;=8,"优先候选",IF(P240&gt;=7,"可询价","备选")))</x:f>
        <x:v>优先候选</x:v>
      </x:c>
      <x:c r="R240" s="12" t="str">
        <x:v>SRC-028</x:v>
      </x:c>
      <x:c r="S240" s="12" t="str">
        <x:v>进入同规格询价和总拥有成本比较</x:v>
      </x:c>
    </x:row>
    <x:row r="241">
      <x:c r="A241" t="str">
        <x:v>ALT-236</x:v>
      </x:c>
      <x:c r="B241" t="str">
        <x:v>BOM-033</x:v>
      </x:c>
      <x:c r="C241" t="str">
        <x:v>洁净服、手套、口罩、鞋套</x:v>
      </x:c>
      <x:c r="D241" t="str">
        <x:v>成本优选：同规格国产合规供应商双询价</x:v>
      </x:c>
      <x:c r="E241" t="str">
        <x:v>国产/本地供应链</x:v>
      </x:c>
      <x:c r="F241" s="51" t="n">
        <x:v>2500</x:v>
      </x:c>
      <x:c r="G241" s="51" t="n">
        <x:v>2125</x:v>
      </x:c>
      <x:c r="H241" s="60" t="n">
        <x:f>IF(G241=0,0,MIN(10,10*F241/G241))</x:f>
        <x:v>10</x:v>
      </x:c>
      <x:c r="I241" s="53" t="n">
        <x:v>7</x:v>
      </x:c>
      <x:c r="J241" s="53" t="n">
        <x:v>8</x:v>
      </x:c>
      <x:c r="K241" s="53" t="n">
        <x:v>8</x:v>
      </x:c>
      <x:c r="L241" s="53" t="n">
        <x:v>6</x:v>
      </x:c>
      <x:c r="M241" s="53" t="n">
        <x:v>3</x:v>
      </x:c>
      <x:c r="N241" s="53" t="str">
        <x:v>PASS</x:v>
      </x:c>
      <x:c r="O241" s="62" t="str">
        <x:v>需核对规格、税费、安装和售后边界</x:v>
      </x:c>
      <x:c r="P241" s="63" t="n">
        <x:f>IF(N241="PASS",H241*'02_假设与情景'!$H$6+I241*'02_假设与情景'!$H$7+J241*'02_假设与情景'!$H$8+K241*'02_假设与情景'!$H$9+L241*'02_假设与情景'!$H$10+M241*'02_假设与情景'!$H$11,0)</x:f>
        <x:v>7.6499999999999995</x:v>
      </x:c>
      <x:c r="Q241" s="64" t="str">
        <x:f>IF(N241&lt;&gt;"PASS","不推荐-需再验证",IF(P241&gt;=8,"优先候选",IF(P241&gt;=7,"可询价","备选")))</x:f>
        <x:v>可询价</x:v>
      </x:c>
      <x:c r="R241" s="12" t="str">
        <x:v>SRC-028</x:v>
      </x:c>
      <x:c r="S241" s="12" t="str">
        <x:v>进入同规格询价和总拥有成本比较</x:v>
      </x:c>
    </x:row>
    <x:row r="242">
      <x:c r="A242" t="str">
        <x:v>ALT-237</x:v>
      </x:c>
      <x:c r="B242" t="str">
        <x:v>BOM-033</x:v>
      </x:c>
      <x:c r="C242" t="str">
        <x:v>洁净服、手套、口罩、鞋套</x:v>
      </x:c>
      <x:c r="D242" t="str">
        <x:v>品质优选：头部品牌全服务包</x:v>
      </x:c>
      <x:c r="E242" t="str">
        <x:v>头部品牌/专业服务商</x:v>
      </x:c>
      <x:c r="F242" s="51" t="n">
        <x:v>2500</x:v>
      </x:c>
      <x:c r="G242" s="51" t="n">
        <x:v>2950</x:v>
      </x:c>
      <x:c r="H242" s="60" t="n">
        <x:f>IF(G242=0,0,MIN(10,10*F242/G242))</x:f>
        <x:v>8.474576271186441</x:v>
      </x:c>
      <x:c r="I242" s="53" t="n">
        <x:v>9</x:v>
      </x:c>
      <x:c r="J242" s="53" t="n">
        <x:v>9</x:v>
      </x:c>
      <x:c r="K242" s="53" t="n">
        <x:v>7</x:v>
      </x:c>
      <x:c r="L242" s="53" t="n">
        <x:v>9</x:v>
      </x:c>
      <x:c r="M242" s="53" t="n">
        <x:v>3</x:v>
      </x:c>
      <x:c r="N242" s="53" t="str">
        <x:v>PASS</x:v>
      </x:c>
      <x:c r="O242" s="62" t="str">
        <x:v>需核对规格、税费、安装和售后边界</x:v>
      </x:c>
      <x:c r="P242" s="63" t="n">
        <x:f>IF(N242="PASS",H242*'02_假设与情景'!$H$6+I242*'02_假设与情景'!$H$7+J242*'02_假设与情景'!$H$8+K242*'02_假设与情景'!$H$9+L242*'02_假设与情景'!$H$10+M242*'02_假设与情景'!$H$11,0)</x:f>
        <x:v>8.042372881355933</x:v>
      </x:c>
      <x:c r="Q242" s="64" t="str">
        <x:f>IF(N242&lt;&gt;"PASS","不推荐-需再验证",IF(P242&gt;=8,"优先候选",IF(P242&gt;=7,"可询价","备选")))</x:f>
        <x:v>优先候选</x:v>
      </x:c>
      <x:c r="R242" s="12" t="str">
        <x:v>SRC-028</x:v>
      </x:c>
      <x:c r="S242" s="12" t="str">
        <x:v>进入同规格询价和总拥有成本比较</x:v>
      </x:c>
    </x:row>
    <x:row r="243">
      <x:c r="A243" t="str">
        <x:v>ALT-238</x:v>
      </x:c>
      <x:c r="B243" t="str">
        <x:v>BOM-034</x:v>
      </x:c>
      <x:c r="C243" t="str">
        <x:v>保温箱、蓄冷剂、温度记录标签</x:v>
      </x:c>
      <x:c r="D243" t="str">
        <x:v>成本优选：同规格国产合规供应商双询价</x:v>
      </x:c>
      <x:c r="E243" t="str">
        <x:v>国产/本地供应链</x:v>
      </x:c>
      <x:c r="F243" s="51" t="n">
        <x:v>35</x:v>
      </x:c>
      <x:c r="G243" s="51" t="n">
        <x:v>29.75</x:v>
      </x:c>
      <x:c r="H243" s="60" t="n">
        <x:f>IF(G243=0,0,MIN(10,10*F243/G243))</x:f>
        <x:v>10</x:v>
      </x:c>
      <x:c r="I243" s="53" t="n">
        <x:v>7</x:v>
      </x:c>
      <x:c r="J243" s="53" t="n">
        <x:v>8</x:v>
      </x:c>
      <x:c r="K243" s="53" t="n">
        <x:v>8</x:v>
      </x:c>
      <x:c r="L243" s="53" t="n">
        <x:v>6</x:v>
      </x:c>
      <x:c r="M243" s="53" t="n">
        <x:v>4</x:v>
      </x:c>
      <x:c r="N243" s="53" t="str">
        <x:v>PASS</x:v>
      </x:c>
      <x:c r="O243" s="62" t="str">
        <x:v>需核对规格、税费、安装和售后边界</x:v>
      </x:c>
      <x:c r="P243" s="63" t="n">
        <x:f>IF(N243="PASS",H243*'02_假设与情景'!$H$6+I243*'02_假设与情景'!$H$7+J243*'02_假设与情景'!$H$8+K243*'02_假设与情景'!$H$9+L243*'02_假设与情景'!$H$10+M243*'02_假设与情景'!$H$11,0)</x:f>
        <x:v>7.75</x:v>
      </x:c>
      <x:c r="Q243" s="64" t="str">
        <x:f>IF(N243&lt;&gt;"PASS","不推荐-需再验证",IF(P243&gt;=8,"优先候选",IF(P243&gt;=7,"可询价","备选")))</x:f>
        <x:v>可询价</x:v>
      </x:c>
      <x:c r="R243" s="12" t="str">
        <x:v>SRC-028</x:v>
      </x:c>
      <x:c r="S243" s="12" t="str">
        <x:v>进入同规格询价和总拥有成本比较</x:v>
      </x:c>
    </x:row>
    <x:row r="244">
      <x:c r="A244" t="str">
        <x:v>ALT-239</x:v>
      </x:c>
      <x:c r="B244" t="str">
        <x:v>BOM-034</x:v>
      </x:c>
      <x:c r="C244" t="str">
        <x:v>保温箱、蓄冷剂、温度记录标签</x:v>
      </x:c>
      <x:c r="D244" t="str">
        <x:v>品质优选：头部品牌全服务包</x:v>
      </x:c>
      <x:c r="E244" t="str">
        <x:v>头部品牌/专业服务商</x:v>
      </x:c>
      <x:c r="F244" s="51" t="n">
        <x:v>35</x:v>
      </x:c>
      <x:c r="G244" s="51" t="n">
        <x:v>41.3</x:v>
      </x:c>
      <x:c r="H244" s="60" t="n">
        <x:f>IF(G244=0,0,MIN(10,10*F244/G244))</x:f>
        <x:v>8.474576271186441</x:v>
      </x:c>
      <x:c r="I244" s="53" t="n">
        <x:v>9</x:v>
      </x:c>
      <x:c r="J244" s="53" t="n">
        <x:v>9</x:v>
      </x:c>
      <x:c r="K244" s="53" t="n">
        <x:v>7</x:v>
      </x:c>
      <x:c r="L244" s="53" t="n">
        <x:v>9</x:v>
      </x:c>
      <x:c r="M244" s="53" t="n">
        <x:v>4</x:v>
      </x:c>
      <x:c r="N244" s="53" t="str">
        <x:v>PASS</x:v>
      </x:c>
      <x:c r="O244" s="62" t="str">
        <x:v>需核对规格、税费、安装和售后边界</x:v>
      </x:c>
      <x:c r="P244" s="63" t="n">
        <x:f>IF(N244="PASS",H244*'02_假设与情景'!$H$6+I244*'02_假设与情景'!$H$7+J244*'02_假设与情景'!$H$8+K244*'02_假设与情景'!$H$9+L244*'02_假设与情景'!$H$10+M244*'02_假设与情景'!$H$11,0)</x:f>
        <x:v>8.142372881355932</x:v>
      </x:c>
      <x:c r="Q244" s="64" t="str">
        <x:f>IF(N244&lt;&gt;"PASS","不推荐-需再验证",IF(P244&gt;=8,"优先候选",IF(P244&gt;=7,"可询价","备选")))</x:f>
        <x:v>优先候选</x:v>
      </x:c>
      <x:c r="R244" s="12" t="str">
        <x:v>SRC-028</x:v>
      </x:c>
      <x:c r="S244" s="12" t="str">
        <x:v>进入同规格询价和总拥有成本比较</x:v>
      </x:c>
    </x:row>
    <x:row r="245">
      <x:c r="A245" t="str">
        <x:v>ALT-240</x:v>
      </x:c>
      <x:c r="B245" t="str">
        <x:v>BOM-035</x:v>
      </x:c>
      <x:c r="C245" t="str">
        <x:v>受控批记录、物料状态和留样标签</x:v>
      </x:c>
      <x:c r="D245" t="str">
        <x:v>成本优选：同规格国产合规供应商双询价</x:v>
      </x:c>
      <x:c r="E245" t="str">
        <x:v>国产/本地供应链</x:v>
      </x:c>
      <x:c r="F245" s="51" t="n">
        <x:v>80</x:v>
      </x:c>
      <x:c r="G245" s="51" t="n">
        <x:v>68</x:v>
      </x:c>
      <x:c r="H245" s="60" t="n">
        <x:f>IF(G245=0,0,MIN(10,10*F245/G245))</x:f>
        <x:v>10</x:v>
      </x:c>
      <x:c r="I245" s="53" t="n">
        <x:v>7</x:v>
      </x:c>
      <x:c r="J245" s="53" t="n">
        <x:v>8</x:v>
      </x:c>
      <x:c r="K245" s="53" t="n">
        <x:v>8</x:v>
      </x:c>
      <x:c r="L245" s="53" t="n">
        <x:v>6</x:v>
      </x:c>
      <x:c r="M245" s="53" t="n">
        <x:v>3</x:v>
      </x:c>
      <x:c r="N245" s="53" t="str">
        <x:v>PASS</x:v>
      </x:c>
      <x:c r="O245" s="62" t="str">
        <x:v>需核对规格、税费、安装和售后边界</x:v>
      </x:c>
      <x:c r="P245" s="63" t="n">
        <x:f>IF(N245="PASS",H245*'02_假设与情景'!$H$6+I245*'02_假设与情景'!$H$7+J245*'02_假设与情景'!$H$8+K245*'02_假设与情景'!$H$9+L245*'02_假设与情景'!$H$10+M245*'02_假设与情景'!$H$11,0)</x:f>
        <x:v>7.6499999999999995</x:v>
      </x:c>
      <x:c r="Q245" s="64" t="str">
        <x:f>IF(N245&lt;&gt;"PASS","不推荐-需再验证",IF(P245&gt;=8,"优先候选",IF(P245&gt;=7,"可询价","备选")))</x:f>
        <x:v>可询价</x:v>
      </x:c>
      <x:c r="R245" s="12" t="str">
        <x:v>SRC-028</x:v>
      </x:c>
      <x:c r="S245" s="12" t="str">
        <x:v>进入同规格询价和总拥有成本比较</x:v>
      </x:c>
    </x:row>
    <x:row r="246">
      <x:c r="A246" t="str">
        <x:v>ALT-241</x:v>
      </x:c>
      <x:c r="B246" t="str">
        <x:v>BOM-035</x:v>
      </x:c>
      <x:c r="C246" t="str">
        <x:v>受控批记录、物料状态和留样标签</x:v>
      </x:c>
      <x:c r="D246" t="str">
        <x:v>品质优选：头部品牌全服务包</x:v>
      </x:c>
      <x:c r="E246" t="str">
        <x:v>头部品牌/专业服务商</x:v>
      </x:c>
      <x:c r="F246" s="51" t="n">
        <x:v>80</x:v>
      </x:c>
      <x:c r="G246" s="51" t="n">
        <x:v>94.4</x:v>
      </x:c>
      <x:c r="H246" s="60" t="n">
        <x:f>IF(G246=0,0,MIN(10,10*F246/G246))</x:f>
        <x:v>8.47457627118644</x:v>
      </x:c>
      <x:c r="I246" s="53" t="n">
        <x:v>9</x:v>
      </x:c>
      <x:c r="J246" s="53" t="n">
        <x:v>9</x:v>
      </x:c>
      <x:c r="K246" s="53" t="n">
        <x:v>7</x:v>
      </x:c>
      <x:c r="L246" s="53" t="n">
        <x:v>9</x:v>
      </x:c>
      <x:c r="M246" s="53" t="n">
        <x:v>3</x:v>
      </x:c>
      <x:c r="N246" s="53" t="str">
        <x:v>PASS</x:v>
      </x:c>
      <x:c r="O246" s="62" t="str">
        <x:v>需核对规格、税费、安装和售后边界</x:v>
      </x:c>
      <x:c r="P246" s="63" t="n">
        <x:f>IF(N246="PASS",H246*'02_假设与情景'!$H$6+I246*'02_假设与情景'!$H$7+J246*'02_假设与情景'!$H$8+K246*'02_假设与情景'!$H$9+L246*'02_假设与情景'!$H$10+M246*'02_假设与情景'!$H$11,0)</x:f>
        <x:v>8.042372881355933</x:v>
      </x:c>
      <x:c r="Q246" s="64" t="str">
        <x:f>IF(N246&lt;&gt;"PASS","不推荐-需再验证",IF(P246&gt;=8,"优先候选",IF(P246&gt;=7,"可询价","备选")))</x:f>
        <x:v>优先候选</x:v>
      </x:c>
      <x:c r="R246" s="12" t="str">
        <x:v>SRC-028</x:v>
      </x:c>
      <x:c r="S246" s="12" t="str">
        <x:v>进入同规格询价和总拥有成本比较</x:v>
      </x:c>
    </x:row>
    <x:row r="247">
      <x:c r="A247" t="str">
        <x:v>ALT-242</x:v>
      </x:c>
      <x:c r="B247" t="str">
        <x:v>BOM-036</x:v>
      </x:c>
      <x:c r="C247" t="str">
        <x:v>H1辅助链（32 nt，无修饰）</x:v>
      </x:c>
      <x:c r="D247" t="str">
        <x:v>H1完整构型RFQ-A</x:v>
      </x:c>
      <x:c r="E247" t="str">
        <x:v>32 nt无修饰+HPLC/10 OD等效</x:v>
      </x:c>
      <x:c r="F247" s="51" t="n">
        <x:v>180</x:v>
      </x:c>
      <x:c r="G247" s="51" t="n">
        <x:v>180</x:v>
      </x:c>
      <x:c r="H247" s="60" t="n">
        <x:f>IF(G247=0,0,MIN(10,10*F247/G247))</x:f>
        <x:v>10</x:v>
      </x:c>
      <x:c r="I247" s="53" t="n">
        <x:v>9</x:v>
      </x:c>
      <x:c r="J247" s="53" t="n">
        <x:v>9</x:v>
      </x:c>
      <x:c r="K247" s="53" t="n">
        <x:v>9</x:v>
      </x:c>
      <x:c r="L247" s="53" t="n">
        <x:v>8</x:v>
      </x:c>
      <x:c r="M247" s="53" t="n">
        <x:v>7</x:v>
      </x:c>
      <x:c r="N247" s="53" t="str">
        <x:v>PASS</x:v>
      </x:c>
      <x:c r="O247" s="62" t="str">
        <x:v>需小试、三批一致性和PANDA抑制复性效果验证</x:v>
      </x:c>
      <x:c r="P247" s="63" t="n">
        <x:f>IF(N247="PASS",H247*'02_假设与情景'!$H$6+I247*'02_假设与情景'!$H$7+J247*'02_假设与情景'!$H$8+K247*'02_假设与情景'!$H$9+L247*'02_假设与情景'!$H$10+M247*'02_假设与情景'!$H$11,0)</x:f>
        <x:v>9</x:v>
      </x:c>
      <x:c r="Q247" s="64" t="str">
        <x:f>IF(N247&lt;&gt;"PASS","不推荐-需再验证",IF(P247&gt;=8,"优先候选",IF(P247&gt;=7,"可询价","备选")))</x:f>
        <x:v>优先候选</x:v>
      </x:c>
      <x:c r="R247" s="12" t="str">
        <x:v>SRC-002, SRC-003, SRC-032, SRC-036</x:v>
      </x:c>
      <x:c r="S247" s="12" t="str">
        <x:v>普通寡核苷酸价格仅为10 OD预算锚点；必须按最终方向、HPLC纯化、质控和交付规模RFQ</x:v>
      </x:c>
    </x:row>
    <x:row r="248">
      <x:c r="A248" t="str">
        <x:v>ALT-243</x:v>
      </x:c>
      <x:c r="B248" t="str">
        <x:v>BOM-036</x:v>
      </x:c>
      <x:c r="C248" t="str">
        <x:v>H1辅助链（32 nt，无修饰）</x:v>
      </x:c>
      <x:c r="D248" t="str">
        <x:v>H1国产双来源RFQ-B</x:v>
      </x:c>
      <x:c r="E248" t="str">
        <x:v>国产双来源/同序列同纯化</x:v>
      </x:c>
      <x:c r="F248" s="51" t="n">
        <x:v>180</x:v>
      </x:c>
      <x:c r="G248" s="51" t="n">
        <x:v>162</x:v>
      </x:c>
      <x:c r="H248" s="60" t="n">
        <x:f>IF(G248=0,0,MIN(10,10*F248/G248))</x:f>
        <x:v>10</x:v>
      </x:c>
      <x:c r="I248" s="53" t="n">
        <x:v>8</x:v>
      </x:c>
      <x:c r="J248" s="53" t="n">
        <x:v>8</x:v>
      </x:c>
      <x:c r="K248" s="53" t="n">
        <x:v>9</x:v>
      </x:c>
      <x:c r="L248" s="53" t="n">
        <x:v>7</x:v>
      </x:c>
      <x:c r="M248" s="53" t="n">
        <x:v>6</x:v>
      </x:c>
      <x:c r="N248" s="53" t="str">
        <x:v>PASS</x:v>
      </x:c>
      <x:c r="O248" s="62" t="str">
        <x:v>需小试、三批一致性和PANDA抑制复性效果验证</x:v>
      </x:c>
      <x:c r="P248" s="63" t="n">
        <x:f>IF(N248="PASS",H248*'02_假设与情景'!$H$6+I248*'02_假设与情景'!$H$7+J248*'02_假设与情景'!$H$8+K248*'02_假设与情景'!$H$9+L248*'02_假设与情景'!$H$10+M248*'02_假设与情景'!$H$11,0)</x:f>
        <x:v>8.4</x:v>
      </x:c>
      <x:c r="Q248" s="64" t="str">
        <x:f>IF(N248&lt;&gt;"PASS","不推荐-需再验证",IF(P248&gt;=8,"优先候选",IF(P248&gt;=7,"可询价","备选")))</x:f>
        <x:v>优先候选</x:v>
      </x:c>
      <x:c r="R248" s="12" t="str">
        <x:v>SRC-002, SRC-003, SRC-036</x:v>
      </x:c>
      <x:c r="S248" s="12" t="str">
        <x:v>10%降幅仅为双来源谈判代理，不是已取得报价；比较时必须统一序列、规模、纯化、税运和重合成条款</x:v>
      </x:c>
    </x:row>
    <x:row r="249">
      <x:c r="A249" t="str">
        <x:v>ALT-244</x:v>
      </x:c>
      <x:c r="B249" t="str">
        <x:v>BOM-037</x:v>
      </x:c>
      <x:c r="C249" t="str">
        <x:v>H2辅助链（18 nt，无修饰）</x:v>
      </x:c>
      <x:c r="D249" t="str">
        <x:v>H2完整构型RFQ-A</x:v>
      </x:c>
      <x:c r="E249" t="str">
        <x:v>18 nt无修饰+HPLC/10 OD等效</x:v>
      </x:c>
      <x:c r="F249" s="51" t="n">
        <x:v>180</x:v>
      </x:c>
      <x:c r="G249" s="51" t="n">
        <x:v>180</x:v>
      </x:c>
      <x:c r="H249" s="60" t="n">
        <x:f>IF(G249=0,0,MIN(10,10*F249/G249))</x:f>
        <x:v>10</x:v>
      </x:c>
      <x:c r="I249" s="53" t="n">
        <x:v>9</x:v>
      </x:c>
      <x:c r="J249" s="53" t="n">
        <x:v>9</x:v>
      </x:c>
      <x:c r="K249" s="53" t="n">
        <x:v>9</x:v>
      </x:c>
      <x:c r="L249" s="53" t="n">
        <x:v>8</x:v>
      </x:c>
      <x:c r="M249" s="53" t="n">
        <x:v>7</x:v>
      </x:c>
      <x:c r="N249" s="53" t="str">
        <x:v>PASS</x:v>
      </x:c>
      <x:c r="O249" s="62" t="str">
        <x:v>需小试、三批一致性和PANDA抑制复性效果验证</x:v>
      </x:c>
      <x:c r="P249" s="63" t="n">
        <x:f>IF(N249="PASS",H249*'02_假设与情景'!$H$6+I249*'02_假设与情景'!$H$7+J249*'02_假设与情景'!$H$8+K249*'02_假设与情景'!$H$9+L249*'02_假设与情景'!$H$10+M249*'02_假设与情景'!$H$11,0)</x:f>
        <x:v>9</x:v>
      </x:c>
      <x:c r="Q249" s="64" t="str">
        <x:f>IF(N249&lt;&gt;"PASS","不推荐-需再验证",IF(P249&gt;=8,"优先候选",IF(P249&gt;=7,"可询价","备选")))</x:f>
        <x:v>优先候选</x:v>
      </x:c>
      <x:c r="R249" s="12" t="str">
        <x:v>SRC-002, SRC-003, SRC-032, SRC-036</x:v>
      </x:c>
      <x:c r="S249" s="12" t="str">
        <x:v>普通寡核苷酸价格仅为10 OD预算锚点；必须按最终方向、HPLC纯化、质控和交付规模RFQ</x:v>
      </x:c>
    </x:row>
    <x:row r="250">
      <x:c r="A250" t="str">
        <x:v>ALT-245</x:v>
      </x:c>
      <x:c r="B250" t="str">
        <x:v>BOM-037</x:v>
      </x:c>
      <x:c r="C250" t="str">
        <x:v>H2辅助链（18 nt，无修饰）</x:v>
      </x:c>
      <x:c r="D250" t="str">
        <x:v>H2国产双来源RFQ-B</x:v>
      </x:c>
      <x:c r="E250" t="str">
        <x:v>国产双来源/同序列同纯化</x:v>
      </x:c>
      <x:c r="F250" s="51" t="n">
        <x:v>180</x:v>
      </x:c>
      <x:c r="G250" s="51" t="n">
        <x:v>162</x:v>
      </x:c>
      <x:c r="H250" s="60" t="n">
        <x:f>IF(G250=0,0,MIN(10,10*F250/G250))</x:f>
        <x:v>10</x:v>
      </x:c>
      <x:c r="I250" s="53" t="n">
        <x:v>8</x:v>
      </x:c>
      <x:c r="J250" s="53" t="n">
        <x:v>8</x:v>
      </x:c>
      <x:c r="K250" s="53" t="n">
        <x:v>9</x:v>
      </x:c>
      <x:c r="L250" s="53" t="n">
        <x:v>7</x:v>
      </x:c>
      <x:c r="M250" s="53" t="n">
        <x:v>6</x:v>
      </x:c>
      <x:c r="N250" s="53" t="str">
        <x:v>PASS</x:v>
      </x:c>
      <x:c r="O250" s="62" t="str">
        <x:v>需小试、三批一致性和PANDA抑制复性效果验证</x:v>
      </x:c>
      <x:c r="P250" s="63" t="n">
        <x:f>IF(N250="PASS",H250*'02_假设与情景'!$H$6+I250*'02_假设与情景'!$H$7+J250*'02_假设与情景'!$H$8+K250*'02_假设与情景'!$H$9+L250*'02_假设与情景'!$H$10+M250*'02_假设与情景'!$H$11,0)</x:f>
        <x:v>8.4</x:v>
      </x:c>
      <x:c r="Q250" s="64" t="str">
        <x:f>IF(N250&lt;&gt;"PASS","不推荐-需再验证",IF(P250&gt;=8,"优先候选",IF(P250&gt;=7,"可询价","备选")))</x:f>
        <x:v>优先候选</x:v>
      </x:c>
      <x:c r="R250" s="12" t="str">
        <x:v>SRC-002, SRC-003, SRC-036</x:v>
      </x:c>
      <x:c r="S250" s="12" t="str">
        <x:v>10%降幅仅为双来源谈判代理，不是已取得报价；比较时必须统一序列、规模、纯化、税运和重合成条款</x:v>
      </x:c>
    </x:row>
    <x:row r="251">
      <x:c r="A251" t="str">
        <x:v>ALT-246</x:v>
      </x:c>
      <x:c r="B251" t="str">
        <x:v>BOM-038</x:v>
      </x:c>
      <x:c r="C251" t="str">
        <x:v>H3辅助链（18 nt，无修饰）</x:v>
      </x:c>
      <x:c r="D251" t="str">
        <x:v>H3完整构型RFQ-A</x:v>
      </x:c>
      <x:c r="E251" t="str">
        <x:v>18 nt无修饰+HPLC/10 OD等效</x:v>
      </x:c>
      <x:c r="F251" s="51" t="n">
        <x:v>180</x:v>
      </x:c>
      <x:c r="G251" s="51" t="n">
        <x:v>180</x:v>
      </x:c>
      <x:c r="H251" s="60" t="n">
        <x:f>IF(G251=0,0,MIN(10,10*F251/G251))</x:f>
        <x:v>10</x:v>
      </x:c>
      <x:c r="I251" s="53" t="n">
        <x:v>9</x:v>
      </x:c>
      <x:c r="J251" s="53" t="n">
        <x:v>9</x:v>
      </x:c>
      <x:c r="K251" s="53" t="n">
        <x:v>9</x:v>
      </x:c>
      <x:c r="L251" s="53" t="n">
        <x:v>8</x:v>
      </x:c>
      <x:c r="M251" s="53" t="n">
        <x:v>7</x:v>
      </x:c>
      <x:c r="N251" s="53" t="str">
        <x:v>PASS</x:v>
      </x:c>
      <x:c r="O251" s="62" t="str">
        <x:v>需小试、三批一致性和PANDA抑制复性效果验证</x:v>
      </x:c>
      <x:c r="P251" s="63" t="n">
        <x:f>IF(N251="PASS",H251*'02_假设与情景'!$H$6+I251*'02_假设与情景'!$H$7+J251*'02_假设与情景'!$H$8+K251*'02_假设与情景'!$H$9+L251*'02_假设与情景'!$H$10+M251*'02_假设与情景'!$H$11,0)</x:f>
        <x:v>9</x:v>
      </x:c>
      <x:c r="Q251" s="64" t="str">
        <x:f>IF(N251&lt;&gt;"PASS","不推荐-需再验证",IF(P251&gt;=8,"优先候选",IF(P251&gt;=7,"可询价","备选")))</x:f>
        <x:v>优先候选</x:v>
      </x:c>
      <x:c r="R251" s="12" t="str">
        <x:v>SRC-002, SRC-003, SRC-032, SRC-036</x:v>
      </x:c>
      <x:c r="S251" s="12" t="str">
        <x:v>普通寡核苷酸价格仅为10 OD预算锚点；必须按最终方向、HPLC纯化、质控和交付规模RFQ</x:v>
      </x:c>
    </x:row>
    <x:row r="252">
      <x:c r="A252" t="str">
        <x:v>ALT-247</x:v>
      </x:c>
      <x:c r="B252" t="str">
        <x:v>BOM-038</x:v>
      </x:c>
      <x:c r="C252" t="str">
        <x:v>H3辅助链（18 nt，无修饰）</x:v>
      </x:c>
      <x:c r="D252" t="str">
        <x:v>H3国产双来源RFQ-B</x:v>
      </x:c>
      <x:c r="E252" t="str">
        <x:v>国产双来源/同序列同纯化</x:v>
      </x:c>
      <x:c r="F252" s="51" t="n">
        <x:v>180</x:v>
      </x:c>
      <x:c r="G252" s="51" t="n">
        <x:v>162</x:v>
      </x:c>
      <x:c r="H252" s="60" t="n">
        <x:f>IF(G252=0,0,MIN(10,10*F252/G252))</x:f>
        <x:v>10</x:v>
      </x:c>
      <x:c r="I252" s="53" t="n">
        <x:v>8</x:v>
      </x:c>
      <x:c r="J252" s="53" t="n">
        <x:v>8</x:v>
      </x:c>
      <x:c r="K252" s="53" t="n">
        <x:v>9</x:v>
      </x:c>
      <x:c r="L252" s="53" t="n">
        <x:v>7</x:v>
      </x:c>
      <x:c r="M252" s="53" t="n">
        <x:v>6</x:v>
      </x:c>
      <x:c r="N252" s="53" t="str">
        <x:v>PASS</x:v>
      </x:c>
      <x:c r="O252" s="62" t="str">
        <x:v>需小试、三批一致性和PANDA抑制复性效果验证</x:v>
      </x:c>
      <x:c r="P252" s="63" t="n">
        <x:f>IF(N252="PASS",H252*'02_假设与情景'!$H$6+I252*'02_假设与情景'!$H$7+J252*'02_假设与情景'!$H$8+K252*'02_假设与情景'!$H$9+L252*'02_假设与情景'!$H$10+M252*'02_假设与情景'!$H$11,0)</x:f>
        <x:v>8.4</x:v>
      </x:c>
      <x:c r="Q252" s="64" t="str">
        <x:f>IF(N252&lt;&gt;"PASS","不推荐-需再验证",IF(P252&gt;=8,"优先候选",IF(P252&gt;=7,"可询价","备选")))</x:f>
        <x:v>优先候选</x:v>
      </x:c>
      <x:c r="R252" s="12" t="str">
        <x:v>SRC-002, SRC-003, SRC-036</x:v>
      </x:c>
      <x:c r="S252" s="12" t="str">
        <x:v>10%降幅仅为双来源谈判代理，不是已取得报价；比较时必须统一序列、规模、纯化、税运和重合成条款</x:v>
      </x:c>
    </x:row>
    <x:row r="253">
      <x:c r="A253" t="str">
        <x:v>ALT-248</x:v>
      </x:c>
      <x:c r="B253" t="str">
        <x:v>BOM-039</x:v>
      </x:c>
      <x:c r="C253" t="str">
        <x:v>H4辅助链（19 nt，无修饰）</x:v>
      </x:c>
      <x:c r="D253" t="str">
        <x:v>H4完整构型RFQ-A</x:v>
      </x:c>
      <x:c r="E253" t="str">
        <x:v>19 nt无修饰+HPLC/10 OD等效</x:v>
      </x:c>
      <x:c r="F253" s="51" t="n">
        <x:v>180</x:v>
      </x:c>
      <x:c r="G253" s="51" t="n">
        <x:v>180</x:v>
      </x:c>
      <x:c r="H253" s="60" t="n">
        <x:f>IF(G253=0,0,MIN(10,10*F253/G253))</x:f>
        <x:v>10</x:v>
      </x:c>
      <x:c r="I253" s="53" t="n">
        <x:v>9</x:v>
      </x:c>
      <x:c r="J253" s="53" t="n">
        <x:v>9</x:v>
      </x:c>
      <x:c r="K253" s="53" t="n">
        <x:v>9</x:v>
      </x:c>
      <x:c r="L253" s="53" t="n">
        <x:v>8</x:v>
      </x:c>
      <x:c r="M253" s="53" t="n">
        <x:v>7</x:v>
      </x:c>
      <x:c r="N253" s="53" t="str">
        <x:v>PASS</x:v>
      </x:c>
      <x:c r="O253" s="62" t="str">
        <x:v>需小试、三批一致性和PANDA抑制复性效果验证</x:v>
      </x:c>
      <x:c r="P253" s="63" t="n">
        <x:f>IF(N253="PASS",H253*'02_假设与情景'!$H$6+I253*'02_假设与情景'!$H$7+J253*'02_假设与情景'!$H$8+K253*'02_假设与情景'!$H$9+L253*'02_假设与情景'!$H$10+M253*'02_假设与情景'!$H$11,0)</x:f>
        <x:v>9</x:v>
      </x:c>
      <x:c r="Q253" s="64" t="str">
        <x:f>IF(N253&lt;&gt;"PASS","不推荐-需再验证",IF(P253&gt;=8,"优先候选",IF(P253&gt;=7,"可询价","备选")))</x:f>
        <x:v>优先候选</x:v>
      </x:c>
      <x:c r="R253" s="12" t="str">
        <x:v>SRC-002, SRC-003, SRC-032, SRC-036</x:v>
      </x:c>
      <x:c r="S253" s="12" t="str">
        <x:v>普通寡核苷酸价格仅为10 OD预算锚点；必须按最终方向、HPLC纯化、质控和交付规模RFQ</x:v>
      </x:c>
    </x:row>
    <x:row r="254">
      <x:c r="A254" t="str">
        <x:v>ALT-249</x:v>
      </x:c>
      <x:c r="B254" t="str">
        <x:v>BOM-039</x:v>
      </x:c>
      <x:c r="C254" t="str">
        <x:v>H4辅助链（19 nt，无修饰）</x:v>
      </x:c>
      <x:c r="D254" t="str">
        <x:v>H4国产双来源RFQ-B</x:v>
      </x:c>
      <x:c r="E254" t="str">
        <x:v>国产双来源/同序列同纯化</x:v>
      </x:c>
      <x:c r="F254" s="51" t="n">
        <x:v>180</x:v>
      </x:c>
      <x:c r="G254" s="51" t="n">
        <x:v>162</x:v>
      </x:c>
      <x:c r="H254" s="60" t="n">
        <x:f>IF(G254=0,0,MIN(10,10*F254/G254))</x:f>
        <x:v>10</x:v>
      </x:c>
      <x:c r="I254" s="53" t="n">
        <x:v>8</x:v>
      </x:c>
      <x:c r="J254" s="53" t="n">
        <x:v>8</x:v>
      </x:c>
      <x:c r="K254" s="53" t="n">
        <x:v>9</x:v>
      </x:c>
      <x:c r="L254" s="53" t="n">
        <x:v>7</x:v>
      </x:c>
      <x:c r="M254" s="53" t="n">
        <x:v>6</x:v>
      </x:c>
      <x:c r="N254" s="53" t="str">
        <x:v>PASS</x:v>
      </x:c>
      <x:c r="O254" s="62" t="str">
        <x:v>需小试、三批一致性和PANDA抑制复性效果验证</x:v>
      </x:c>
      <x:c r="P254" s="63" t="n">
        <x:f>IF(N254="PASS",H254*'02_假设与情景'!$H$6+I254*'02_假设与情景'!$H$7+J254*'02_假设与情景'!$H$8+K254*'02_假设与情景'!$H$9+L254*'02_假设与情景'!$H$10+M254*'02_假设与情景'!$H$11,0)</x:f>
        <x:v>8.4</x:v>
      </x:c>
      <x:c r="Q254" s="64" t="str">
        <x:f>IF(N254&lt;&gt;"PASS","不推荐-需再验证",IF(P254&gt;=8,"优先候选",IF(P254&gt;=7,"可询价","备选")))</x:f>
        <x:v>优先候选</x:v>
      </x:c>
      <x:c r="R254" s="12" t="str">
        <x:v>SRC-002, SRC-003, SRC-036</x:v>
      </x:c>
      <x:c r="S254" s="12" t="str">
        <x:v>10%降幅仅为双来源谈判代理，不是已取得报价；比较时必须统一序列、规模、纯化、税运和重合成条款</x:v>
      </x:c>
    </x:row>
    <x:row r="255">
      <x:c r="A255" t="str">
        <x:v>ALT-250</x:v>
      </x:c>
      <x:c r="B255" t="str">
        <x:v>BOM-040</x:v>
      </x:c>
      <x:c r="C255" t="str">
        <x:v>H5辅助链（22 nt，无修饰）</x:v>
      </x:c>
      <x:c r="D255" t="str">
        <x:v>H5完整构型RFQ-A</x:v>
      </x:c>
      <x:c r="E255" t="str">
        <x:v>22 nt无修饰+HPLC/10 OD等效</x:v>
      </x:c>
      <x:c r="F255" s="51" t="n">
        <x:v>180</x:v>
      </x:c>
      <x:c r="G255" s="51" t="n">
        <x:v>180</x:v>
      </x:c>
      <x:c r="H255" s="60" t="n">
        <x:f>IF(G255=0,0,MIN(10,10*F255/G255))</x:f>
        <x:v>10</x:v>
      </x:c>
      <x:c r="I255" s="53" t="n">
        <x:v>9</x:v>
      </x:c>
      <x:c r="J255" s="53" t="n">
        <x:v>9</x:v>
      </x:c>
      <x:c r="K255" s="53" t="n">
        <x:v>9</x:v>
      </x:c>
      <x:c r="L255" s="53" t="n">
        <x:v>8</x:v>
      </x:c>
      <x:c r="M255" s="53" t="n">
        <x:v>7</x:v>
      </x:c>
      <x:c r="N255" s="53" t="str">
        <x:v>PASS</x:v>
      </x:c>
      <x:c r="O255" s="62" t="str">
        <x:v>需小试、三批一致性和PANDA抑制复性效果验证</x:v>
      </x:c>
      <x:c r="P255" s="63" t="n">
        <x:f>IF(N255="PASS",H255*'02_假设与情景'!$H$6+I255*'02_假设与情景'!$H$7+J255*'02_假设与情景'!$H$8+K255*'02_假设与情景'!$H$9+L255*'02_假设与情景'!$H$10+M255*'02_假设与情景'!$H$11,0)</x:f>
        <x:v>9</x:v>
      </x:c>
      <x:c r="Q255" s="64" t="str">
        <x:f>IF(N255&lt;&gt;"PASS","不推荐-需再验证",IF(P255&gt;=8,"优先候选",IF(P255&gt;=7,"可询价","备选")))</x:f>
        <x:v>优先候选</x:v>
      </x:c>
      <x:c r="R255" s="12" t="str">
        <x:v>SRC-002, SRC-003, SRC-032, SRC-036</x:v>
      </x:c>
      <x:c r="S255" s="12" t="str">
        <x:v>普通寡核苷酸价格仅为10 OD预算锚点；必须按最终方向、HPLC纯化、质控和交付规模RFQ</x:v>
      </x:c>
    </x:row>
    <x:row r="256">
      <x:c r="A256" t="str">
        <x:v>ALT-251</x:v>
      </x:c>
      <x:c r="B256" t="str">
        <x:v>BOM-040</x:v>
      </x:c>
      <x:c r="C256" t="str">
        <x:v>H5辅助链（22 nt，无修饰）</x:v>
      </x:c>
      <x:c r="D256" t="str">
        <x:v>H5国产双来源RFQ-B</x:v>
      </x:c>
      <x:c r="E256" t="str">
        <x:v>国产双来源/同序列同纯化</x:v>
      </x:c>
      <x:c r="F256" s="51" t="n">
        <x:v>180</x:v>
      </x:c>
      <x:c r="G256" s="51" t="n">
        <x:v>162</x:v>
      </x:c>
      <x:c r="H256" s="60" t="n">
        <x:f>IF(G256=0,0,MIN(10,10*F256/G256))</x:f>
        <x:v>10</x:v>
      </x:c>
      <x:c r="I256" s="53" t="n">
        <x:v>8</x:v>
      </x:c>
      <x:c r="J256" s="53" t="n">
        <x:v>8</x:v>
      </x:c>
      <x:c r="K256" s="53" t="n">
        <x:v>9</x:v>
      </x:c>
      <x:c r="L256" s="53" t="n">
        <x:v>7</x:v>
      </x:c>
      <x:c r="M256" s="53" t="n">
        <x:v>6</x:v>
      </x:c>
      <x:c r="N256" s="53" t="str">
        <x:v>PASS</x:v>
      </x:c>
      <x:c r="O256" s="62" t="str">
        <x:v>需小试、三批一致性和PANDA抑制复性效果验证</x:v>
      </x:c>
      <x:c r="P256" s="63" t="n">
        <x:f>IF(N256="PASS",H256*'02_假设与情景'!$H$6+I256*'02_假设与情景'!$H$7+J256*'02_假设与情景'!$H$8+K256*'02_假设与情景'!$H$9+L256*'02_假设与情景'!$H$10+M256*'02_假设与情景'!$H$11,0)</x:f>
        <x:v>8.4</x:v>
      </x:c>
      <x:c r="Q256" s="64" t="str">
        <x:f>IF(N256&lt;&gt;"PASS","不推荐-需再验证",IF(P256&gt;=8,"优先候选",IF(P256&gt;=7,"可询价","备选")))</x:f>
        <x:v>优先候选</x:v>
      </x:c>
      <x:c r="R256" s="12" t="str">
        <x:v>SRC-002, SRC-003, SRC-036</x:v>
      </x:c>
      <x:c r="S256" s="12" t="str">
        <x:v>10%降幅仅为双来源谈判代理，不是已取得报价；比较时必须统一序列、规模、纯化、税运和重合成条款</x:v>
      </x:c>
    </x:row>
    <x:row r="257">
      <x:c r="A257" t="str">
        <x:v>ALT-252</x:v>
      </x:c>
      <x:c r="B257" t="str">
        <x:v>BOM-041</x:v>
      </x:c>
      <x:c r="C257" t="str">
        <x:v>H6辅助链（18 nt，无修饰）</x:v>
      </x:c>
      <x:c r="D257" t="str">
        <x:v>H6完整构型RFQ-A</x:v>
      </x:c>
      <x:c r="E257" t="str">
        <x:v>18 nt无修饰+HPLC/10 OD等效</x:v>
      </x:c>
      <x:c r="F257" s="51" t="n">
        <x:v>180</x:v>
      </x:c>
      <x:c r="G257" s="51" t="n">
        <x:v>180</x:v>
      </x:c>
      <x:c r="H257" s="60" t="n">
        <x:f>IF(G257=0,0,MIN(10,10*F257/G257))</x:f>
        <x:v>10</x:v>
      </x:c>
      <x:c r="I257" s="53" t="n">
        <x:v>9</x:v>
      </x:c>
      <x:c r="J257" s="53" t="n">
        <x:v>9</x:v>
      </x:c>
      <x:c r="K257" s="53" t="n">
        <x:v>9</x:v>
      </x:c>
      <x:c r="L257" s="53" t="n">
        <x:v>8</x:v>
      </x:c>
      <x:c r="M257" s="53" t="n">
        <x:v>7</x:v>
      </x:c>
      <x:c r="N257" s="53" t="str">
        <x:v>PASS</x:v>
      </x:c>
      <x:c r="O257" s="62" t="str">
        <x:v>需小试、三批一致性和PANDA抑制复性效果验证</x:v>
      </x:c>
      <x:c r="P257" s="63" t="n">
        <x:f>IF(N257="PASS",H257*'02_假设与情景'!$H$6+I257*'02_假设与情景'!$H$7+J257*'02_假设与情景'!$H$8+K257*'02_假设与情景'!$H$9+L257*'02_假设与情景'!$H$10+M257*'02_假设与情景'!$H$11,0)</x:f>
        <x:v>9</x:v>
      </x:c>
      <x:c r="Q257" s="64" t="str">
        <x:f>IF(N257&lt;&gt;"PASS","不推荐-需再验证",IF(P257&gt;=8,"优先候选",IF(P257&gt;=7,"可询价","备选")))</x:f>
        <x:v>优先候选</x:v>
      </x:c>
      <x:c r="R257" s="12" t="str">
        <x:v>SRC-002, SRC-003, SRC-032, SRC-036</x:v>
      </x:c>
      <x:c r="S257" s="12" t="str">
        <x:v>普通寡核苷酸价格仅为10 OD预算锚点；必须按最终方向、HPLC纯化、质控和交付规模RFQ</x:v>
      </x:c>
    </x:row>
    <x:row r="258">
      <x:c r="A258" t="str">
        <x:v>ALT-253</x:v>
      </x:c>
      <x:c r="B258" t="str">
        <x:v>BOM-041</x:v>
      </x:c>
      <x:c r="C258" t="str">
        <x:v>H6辅助链（18 nt，无修饰）</x:v>
      </x:c>
      <x:c r="D258" t="str">
        <x:v>H6国产双来源RFQ-B</x:v>
      </x:c>
      <x:c r="E258" t="str">
        <x:v>国产双来源/同序列同纯化</x:v>
      </x:c>
      <x:c r="F258" s="51" t="n">
        <x:v>180</x:v>
      </x:c>
      <x:c r="G258" s="51" t="n">
        <x:v>162</x:v>
      </x:c>
      <x:c r="H258" s="60" t="n">
        <x:f>IF(G258=0,0,MIN(10,10*F258/G258))</x:f>
        <x:v>10</x:v>
      </x:c>
      <x:c r="I258" s="53" t="n">
        <x:v>8</x:v>
      </x:c>
      <x:c r="J258" s="53" t="n">
        <x:v>8</x:v>
      </x:c>
      <x:c r="K258" s="53" t="n">
        <x:v>9</x:v>
      </x:c>
      <x:c r="L258" s="53" t="n">
        <x:v>7</x:v>
      </x:c>
      <x:c r="M258" s="53" t="n">
        <x:v>6</x:v>
      </x:c>
      <x:c r="N258" s="53" t="str">
        <x:v>PASS</x:v>
      </x:c>
      <x:c r="O258" s="62" t="str">
        <x:v>需小试、三批一致性和PANDA抑制复性效果验证</x:v>
      </x:c>
      <x:c r="P258" s="63" t="n">
        <x:f>IF(N258="PASS",H258*'02_假设与情景'!$H$6+I258*'02_假设与情景'!$H$7+J258*'02_假设与情景'!$H$8+K258*'02_假设与情景'!$H$9+L258*'02_假设与情景'!$H$10+M258*'02_假设与情景'!$H$11,0)</x:f>
        <x:v>8.4</x:v>
      </x:c>
      <x:c r="Q258" s="64" t="str">
        <x:f>IF(N258&lt;&gt;"PASS","不推荐-需再验证",IF(P258&gt;=8,"优先候选",IF(P258&gt;=7,"可询价","备选")))</x:f>
        <x:v>优先候选</x:v>
      </x:c>
      <x:c r="R258" s="12" t="str">
        <x:v>SRC-002, SRC-003, SRC-036</x:v>
      </x:c>
      <x:c r="S258" s="12" t="str">
        <x:v>10%降幅仅为双来源谈判代理，不是已取得报价；比较时必须统一序列、规模、纯化、税运和重合成条款</x:v>
      </x:c>
    </x:row>
    <x:row r="259">
      <x:c r="A259" t="str">
        <x:v>ALT-254</x:v>
      </x:c>
      <x:c r="B259" t="str">
        <x:v>BOM-042</x:v>
      </x:c>
      <x:c r="C259" t="str">
        <x:v>H7辅助链（20 nt，无修饰）</x:v>
      </x:c>
      <x:c r="D259" t="str">
        <x:v>H7完整构型RFQ-A</x:v>
      </x:c>
      <x:c r="E259" t="str">
        <x:v>20 nt无修饰+HPLC/10 OD等效</x:v>
      </x:c>
      <x:c r="F259" s="51" t="n">
        <x:v>180</x:v>
      </x:c>
      <x:c r="G259" s="51" t="n">
        <x:v>180</x:v>
      </x:c>
      <x:c r="H259" s="60" t="n">
        <x:f>IF(G259=0,0,MIN(10,10*F259/G259))</x:f>
        <x:v>10</x:v>
      </x:c>
      <x:c r="I259" s="53" t="n">
        <x:v>9</x:v>
      </x:c>
      <x:c r="J259" s="53" t="n">
        <x:v>9</x:v>
      </x:c>
      <x:c r="K259" s="53" t="n">
        <x:v>9</x:v>
      </x:c>
      <x:c r="L259" s="53" t="n">
        <x:v>8</x:v>
      </x:c>
      <x:c r="M259" s="53" t="n">
        <x:v>7</x:v>
      </x:c>
      <x:c r="N259" s="53" t="str">
        <x:v>PASS</x:v>
      </x:c>
      <x:c r="O259" s="62" t="str">
        <x:v>需小试、三批一致性和PANDA抑制复性效果验证</x:v>
      </x:c>
      <x:c r="P259" s="63" t="n">
        <x:f>IF(N259="PASS",H259*'02_假设与情景'!$H$6+I259*'02_假设与情景'!$H$7+J259*'02_假设与情景'!$H$8+K259*'02_假设与情景'!$H$9+L259*'02_假设与情景'!$H$10+M259*'02_假设与情景'!$H$11,0)</x:f>
        <x:v>9</x:v>
      </x:c>
      <x:c r="Q259" s="64" t="str">
        <x:f>IF(N259&lt;&gt;"PASS","不推荐-需再验证",IF(P259&gt;=8,"优先候选",IF(P259&gt;=7,"可询价","备选")))</x:f>
        <x:v>优先候选</x:v>
      </x:c>
      <x:c r="R259" s="12" t="str">
        <x:v>SRC-002, SRC-003, SRC-032, SRC-036</x:v>
      </x:c>
      <x:c r="S259" s="12" t="str">
        <x:v>普通寡核苷酸价格仅为10 OD预算锚点；必须按最终方向、HPLC纯化、质控和交付规模RFQ</x:v>
      </x:c>
    </x:row>
    <x:row r="260">
      <x:c r="A260" t="str">
        <x:v>ALT-255</x:v>
      </x:c>
      <x:c r="B260" t="str">
        <x:v>BOM-042</x:v>
      </x:c>
      <x:c r="C260" t="str">
        <x:v>H7辅助链（20 nt，无修饰）</x:v>
      </x:c>
      <x:c r="D260" t="str">
        <x:v>H7国产双来源RFQ-B</x:v>
      </x:c>
      <x:c r="E260" t="str">
        <x:v>国产双来源/同序列同纯化</x:v>
      </x:c>
      <x:c r="F260" s="51" t="n">
        <x:v>180</x:v>
      </x:c>
      <x:c r="G260" s="51" t="n">
        <x:v>162</x:v>
      </x:c>
      <x:c r="H260" s="60" t="n">
        <x:f>IF(G260=0,0,MIN(10,10*F260/G260))</x:f>
        <x:v>10</x:v>
      </x:c>
      <x:c r="I260" s="53" t="n">
        <x:v>8</x:v>
      </x:c>
      <x:c r="J260" s="53" t="n">
        <x:v>8</x:v>
      </x:c>
      <x:c r="K260" s="53" t="n">
        <x:v>9</x:v>
      </x:c>
      <x:c r="L260" s="53" t="n">
        <x:v>7</x:v>
      </x:c>
      <x:c r="M260" s="53" t="n">
        <x:v>6</x:v>
      </x:c>
      <x:c r="N260" s="53" t="str">
        <x:v>PASS</x:v>
      </x:c>
      <x:c r="O260" s="62" t="str">
        <x:v>需小试、三批一致性和PANDA抑制复性效果验证</x:v>
      </x:c>
      <x:c r="P260" s="63" t="n">
        <x:f>IF(N260="PASS",H260*'02_假设与情景'!$H$6+I260*'02_假设与情景'!$H$7+J260*'02_假设与情景'!$H$8+K260*'02_假设与情景'!$H$9+L260*'02_假设与情景'!$H$10+M260*'02_假设与情景'!$H$11,0)</x:f>
        <x:v>8.4</x:v>
      </x:c>
      <x:c r="Q260" s="64" t="str">
        <x:f>IF(N260&lt;&gt;"PASS","不推荐-需再验证",IF(P260&gt;=8,"优先候选",IF(P260&gt;=7,"可询价","备选")))</x:f>
        <x:v>优先候选</x:v>
      </x:c>
      <x:c r="R260" s="12" t="str">
        <x:v>SRC-002, SRC-003, SRC-036</x:v>
      </x:c>
      <x:c r="S260" s="12" t="str">
        <x:v>10%降幅仅为双来源谈判代理，不是已取得报价；比较时必须统一序列、规模、纯化、税运和重合成条款</x:v>
      </x:c>
    </x:row>
    <x:row r="261">
      <x:c r="A261" t="str">
        <x:v>ALT-256</x:v>
      </x:c>
      <x:c r="B261" t="str">
        <x:v>BOM-043</x:v>
      </x:c>
      <x:c r="C261" t="str">
        <x:v>Tween-20分子生物学级</x:v>
      </x:c>
      <x:c r="D261" t="str">
        <x:v>成本优选：国产Tween-20同级</x:v>
      </x:c>
      <x:c r="E261" t="str">
        <x:v>国产分子生物学级</x:v>
      </x:c>
      <x:c r="F261" s="51" t="n">
        <x:v>950</x:v>
      </x:c>
      <x:c r="G261" s="51" t="n">
        <x:v>760</x:v>
      </x:c>
      <x:c r="H261" s="60" t="n">
        <x:f>IF(G261=0,0,MIN(10,10*F261/G261))</x:f>
        <x:v>10</x:v>
      </x:c>
      <x:c r="I261" s="53" t="n">
        <x:v>8</x:v>
      </x:c>
      <x:c r="J261" s="53" t="n">
        <x:v>8</x:v>
      </x:c>
      <x:c r="K261" s="53" t="n">
        <x:v>9</x:v>
      </x:c>
      <x:c r="L261" s="53" t="n">
        <x:v>7</x:v>
      </x:c>
      <x:c r="M261" s="53" t="n">
        <x:v>5</x:v>
      </x:c>
      <x:c r="N261" s="53" t="str">
        <x:v>PASS</x:v>
      </x:c>
      <x:c r="O261" s="62" t="str">
        <x:v>需荧光本底、PANDA/CD动力学和三批一致性验证</x:v>
      </x:c>
      <x:c r="P261" s="63" t="n">
        <x:f>IF(N261="PASS",H261*'02_假设与情景'!$H$6+I261*'02_假设与情景'!$H$7+J261*'02_假设与情景'!$H$8+K261*'02_假设与情景'!$H$9+L261*'02_假设与情景'!$H$10+M261*'02_假设与情景'!$H$11,0)</x:f>
        <x:v>8.3</x:v>
      </x:c>
      <x:c r="Q261" s="64" t="str">
        <x:f>IF(N261&lt;&gt;"PASS","不推荐-需再验证",IF(P261&gt;=8,"优先候选",IF(P261&gt;=7,"可询价","备选")))</x:f>
        <x:v>优先候选</x:v>
      </x:c>
      <x:c r="R261" s="12" t="str">
        <x:v>SRC-029, SRC-031</x:v>
      </x:c>
      <x:c r="S261" s="12" t="str">
        <x:v>理论用量小、MOQ和荧光本底比单价更重要；正式RFQ需锁定等级和COA</x:v>
      </x:c>
    </x:row>
    <x:row r="262">
      <x:c r="A262" t="str">
        <x:v>ALT-257</x:v>
      </x:c>
      <x:c r="B262" t="str">
        <x:v>BOM-043</x:v>
      </x:c>
      <x:c r="C262" t="str">
        <x:v>Tween-20分子生物学级</x:v>
      </x:c>
      <x:c r="D262" t="str">
        <x:v>品质优选：Merck/Sigma同级Tween-20</x:v>
      </x:c>
      <x:c r="E262" t="str">
        <x:v>Merck/Sigma</x:v>
      </x:c>
      <x:c r="F262" s="51" t="n">
        <x:v>950</x:v>
      </x:c>
      <x:c r="G262" s="51" t="n">
        <x:v>1350</x:v>
      </x:c>
      <x:c r="H262" s="60" t="n">
        <x:f>IF(G262=0,0,MIN(10,10*F262/G262))</x:f>
        <x:v>7.037037037037037</x:v>
      </x:c>
      <x:c r="I262" s="53" t="n">
        <x:v>9</x:v>
      </x:c>
      <x:c r="J262" s="53" t="n">
        <x:v>9</x:v>
      </x:c>
      <x:c r="K262" s="53" t="n">
        <x:v>8</x:v>
      </x:c>
      <x:c r="L262" s="53" t="n">
        <x:v>8</x:v>
      </x:c>
      <x:c r="M262" s="53" t="n">
        <x:v>6</x:v>
      </x:c>
      <x:c r="N262" s="53" t="str">
        <x:v>PASS</x:v>
      </x:c>
      <x:c r="O262" s="62" t="str">
        <x:v>需荧光本底、PANDA/CD动力学和三批一致性验证</x:v>
      </x:c>
      <x:c r="P262" s="63" t="n">
        <x:f>IF(N262="PASS",H262*'02_假设与情景'!$H$6+I262*'02_假设与情景'!$H$7+J262*'02_假设与情景'!$H$8+K262*'02_假设与情景'!$H$9+L262*'02_假设与情景'!$H$10+M262*'02_假设与情景'!$H$11,0)</x:f>
        <x:v>7.91111111111111</x:v>
      </x:c>
      <x:c r="Q262" s="64" t="str">
        <x:f>IF(N262&lt;&gt;"PASS","不推荐-需再验证",IF(P262&gt;=8,"优先候选",IF(P262&gt;=7,"可询价","备选")))</x:f>
        <x:v>可询价</x:v>
      </x:c>
      <x:c r="R262" s="12" t="str">
        <x:v>SRC-029</x:v>
      </x:c>
      <x:c r="S262" s="12" t="str">
        <x:v>进口质量对标；实际采购应按同包装、税运和保质期比较总拥有成本</x:v>
      </x:c>
    </x:row>
  </x:sheetData>
  <x:mergeCells>
    <x:mergeCell ref="A1:S1"/>
    <x:mergeCell ref="A2:S2"/>
    <x:mergeCell ref="A3:S3"/>
  </x:mergeCells>
  <x:conditionalFormatting sqref="N6:N262">
    <x:cfRule type="containsText" dxfId="4" priority="1" operator="containsText" text="REVALIDATE"/>
  </x:conditionalFormatting>
  <x:conditionalFormatting sqref="Q6:Q262">
    <x:cfRule type="containsText" dxfId="5" priority="2" operator="containsText" text="优先候选"/>
    <x:cfRule type="containsText" dxfId="6" priority="3" operator="containsText" text="不推荐"/>
  </x:conditionalFormatting>
  <x:pageMargins left="0.7" right="0.7" top="0.75" bottom="0.75" header="0.3" footer="0.3"/>
  <x:tableParts count="1">
    <x:tablePart xmlns:r="http://schemas.openxmlformats.org/officeDocument/2006/relationships" r:id="R92d26232ea7647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7" hidden="0" customWidth="1"/>
    <x:col min="4" max="4" width="28" hidden="0" customWidth="1"/>
    <x:col min="5" max="5" width="10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1" hidden="0" customWidth="1"/>
    <x:col min="15" max="15" width="11" hidden="0" customWidth="1"/>
    <x:col min="16" max="16" width="11" hidden="0" customWidth="1"/>
    <x:col min="17" max="17" width="12" hidden="0" customWidth="1"/>
    <x:col min="18" max="18" width="48" hidden="0" customWidth="1"/>
    <x:col min="19" max="19" width="28" hidden="0" customWidth="1"/>
  </x:cols>
  <x:sheetData>
    <x:row r="1" ht="30" customHeight="1">
      <x:c r="A1" s="3" t="str">
        <x:v>2024 / 2025 / 当前价格与波动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历史直接证据优先；指数回推的历史可信度受限并明确标注。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25" t="str">
        <x:v>项目ID</x:v>
      </x:c>
      <x:c r="B4" s="26" t="str">
        <x:v>类型</x:v>
      </x:c>
      <x:c r="C4" s="26" t="str">
        <x:v>类别</x:v>
      </x:c>
      <x:c r="D4" s="26" t="str">
        <x:v>项目</x:v>
      </x:c>
      <x:c r="E4" s="26" t="str">
        <x:v>单位</x:v>
      </x:c>
      <x:c r="F4" s="26" t="str">
        <x:v>2024价</x:v>
      </x:c>
      <x:c r="G4" s="26" t="str">
        <x:v>2025价</x:v>
      </x:c>
      <x:c r="H4" s="26" t="str">
        <x:v>当前价</x:v>
      </x:c>
      <x:c r="I4" s="26" t="str">
        <x:v>低位</x:v>
      </x:c>
      <x:c r="J4" s="26" t="str">
        <x:v>高位</x:v>
      </x:c>
      <x:c r="K4" s="26" t="str">
        <x:v>2025同比</x:v>
      </x:c>
      <x:c r="L4" s="26" t="str">
        <x:v>当前较2025</x:v>
      </x:c>
      <x:c r="M4" s="26" t="str">
        <x:v>区间宽度</x:v>
      </x:c>
      <x:c r="N4" s="26" t="str">
        <x:v>2024可信</x:v>
      </x:c>
      <x:c r="O4" s="26" t="str">
        <x:v>2025可信</x:v>
      </x:c>
      <x:c r="P4" s="26" t="str">
        <x:v>当前可信</x:v>
      </x:c>
      <x:c r="Q4" s="26" t="str">
        <x:v>加权可信</x:v>
      </x:c>
      <x:c r="R4" s="26" t="str">
        <x:v>历史方法</x:v>
      </x:c>
      <x:c r="S4" s="27" t="str">
        <x:v>来源ID</x:v>
      </x:c>
    </x:row>
    <x:row r="5">
      <x:c r="A5" t="str">
        <x:v>CAPEX-001</x:v>
      </x:c>
      <x:c r="B5" t="str">
        <x:v>CAPEX</x:v>
      </x:c>
      <x:c r="C5" t="str">
        <x:v>前期与设计</x:v>
      </x:c>
      <x:c r="D5" t="str">
        <x:v>项目可行性、URS与概念设计</x:v>
      </x:c>
      <x:c r="E5" t="str">
        <x:v>项</x:v>
      </x:c>
      <x:c r="F5" s="51" t="n">
        <x:v>247071.7062</x:v>
      </x:c>
      <x:c r="G5" s="51" t="n">
        <x:v>240153.6984</x:v>
      </x:c>
      <x:c r="H5" s="51" t="n">
        <x:v>250000</x:v>
      </x:c>
      <x:c r="I5" s="51" t="n">
        <x:v>120000</x:v>
      </x:c>
      <x:c r="J5" s="51" t="n">
        <x:v>500000</x:v>
      </x:c>
      <x:c r="K5" s="65" t="n">
        <x:f>IF(F5=0,0,G5/F5-1)</x:f>
        <x:v>-0.028000000106851552</x:v>
      </x:c>
      <x:c r="L5" s="65" t="n">
        <x:f>IF(G5=0,0,H5/G5-1)</x:f>
        <x:v>0.04099999985675851</x:v>
      </x:c>
      <x:c r="M5" s="65" t="n">
        <x:f>IF(H5=0,0,(J5-I5)/H5)</x:f>
        <x:v>1.52</x:v>
      </x:c>
      <x:c r="N5" s="60" t="n">
        <x:v>3</x:v>
      </x:c>
      <x:c r="O5" s="60" t="n">
        <x:v>3</x:v>
      </x:c>
      <x:c r="P5" s="60" t="n">
        <x:v>3</x:v>
      </x:c>
      <x:c r="Q5" s="60" t="n">
        <x:f>N5*20%+O5*30%+P5*50%</x:f>
        <x:v>3</x:v>
      </x:c>
      <x:c r="R5" s="12" t="str">
        <x:v>当前公开区间基准；2025按2026年6月PPI同比+4.1%回推，2024按2025上半年PPI-2.8%回推</x:v>
      </x:c>
      <x:c r="S5" s="12" t="str">
        <x:v>SRC-031, SRC-009, SRC-010, SRC-011</x:v>
      </x:c>
    </x:row>
    <x:row r="6">
      <x:c r="A6" t="str">
        <x:v>CAPEX-002</x:v>
      </x:c>
      <x:c r="B6" t="str">
        <x:v>CAPEX</x:v>
      </x:c>
      <x:c r="C6" t="str">
        <x:v>厂房与洁净工程</x:v>
      </x:c>
      <x:c r="D6" t="str">
        <x:v>租赁厂房基础装修改造</x:v>
      </x:c>
      <x:c r="E6" t="str">
        <x:v>m2</x:v>
      </x:c>
      <x:c r="F6" s="51" t="n">
        <x:v>790.6294</x:v>
      </x:c>
      <x:c r="G6" s="51" t="n">
        <x:v>768.4918</x:v>
      </x:c>
      <x:c r="H6" s="51" t="n">
        <x:v>800</x:v>
      </x:c>
      <x:c r="I6" s="51" t="n">
        <x:v>500</x:v>
      </x:c>
      <x:c r="J6" s="51" t="n">
        <x:v>1400</x:v>
      </x:c>
      <x:c r="K6" s="65" t="n">
        <x:f>IF(F6=0,0,G6/F6-1)</x:f>
        <x:v>-0.027999970656289785</x:v>
      </x:c>
      <x:c r="L6" s="65" t="n">
        <x:f>IF(G6=0,0,H6/G6-1)</x:f>
        <x:v>0.04100004710525207</x:v>
      </x:c>
      <x:c r="M6" s="65" t="n">
        <x:f>IF(H6=0,0,(J6-I6)/H6)</x:f>
        <x:v>1.125</x:v>
      </x:c>
      <x:c r="N6" s="60" t="n">
        <x:v>3</x:v>
      </x:c>
      <x:c r="O6" s="60" t="n">
        <x:v>4</x:v>
      </x:c>
      <x:c r="P6" s="60" t="n">
        <x:v>4</x:v>
      </x:c>
      <x:c r="Q6" s="60" t="n">
        <x:f>N6*20%+O6*30%+P6*50%</x:f>
        <x:v>3.8</x:v>
      </x:c>
      <x:c r="R6" s="12" t="str">
        <x:v>当前公开区间基准；2025按2026年6月PPI同比+4.1%回推，2024按2025上半年PPI-2.8%回推</x:v>
      </x:c>
      <x:c r="S6" s="12" t="str">
        <x:v>SRC-015, SRC-031, SRC-009, SRC-010, SRC-011</x:v>
      </x:c>
    </x:row>
    <x:row r="7">
      <x:c r="A7" t="str">
        <x:v>CAPEX-003</x:v>
      </x:c>
      <x:c r="B7" t="str">
        <x:v>CAPEX</x:v>
      </x:c>
      <x:c r="C7" t="str">
        <x:v>厂房与洁净工程</x:v>
      </x:c>
      <x:c r="D7" t="str">
        <x:v>PCR Mix ISO7配制间</x:v>
      </x:c>
      <x:c r="E7" t="str">
        <x:v>m2</x:v>
      </x:c>
      <x:c r="F7" s="51" t="n">
        <x:v>1581.259</x:v>
      </x:c>
      <x:c r="G7" s="51" t="n">
        <x:v>1536.9837</x:v>
      </x:c>
      <x:c r="H7" s="51" t="n">
        <x:v>1600</x:v>
      </x:c>
      <x:c r="I7" s="51" t="n">
        <x:v>1100</x:v>
      </x:c>
      <x:c r="J7" s="51" t="n">
        <x:v>2400</x:v>
      </x:c>
      <x:c r="K7" s="65" t="n">
        <x:f>IF(F7=0,0,G7/F7-1)</x:f>
        <x:v>-0.028000030355558425</x:v>
      </x:c>
      <x:c r="L7" s="65" t="n">
        <x:f>IF(G7=0,0,H7/G7-1)</x:f>
        <x:v>0.040999979375187845</x:v>
      </x:c>
      <x:c r="M7" s="65" t="n">
        <x:f>IF(H7=0,0,(J7-I7)/H7)</x:f>
        <x:v>0.8125</x:v>
      </x:c>
      <x:c r="N7" s="60" t="n">
        <x:v>3</x:v>
      </x:c>
      <x:c r="O7" s="60" t="n">
        <x:v>4</x:v>
      </x:c>
      <x:c r="P7" s="60" t="n">
        <x:v>4</x:v>
      </x:c>
      <x:c r="Q7" s="60" t="n">
        <x:f>N7*20%+O7*30%+P7*50%</x:f>
        <x:v>3.8</x:v>
      </x:c>
      <x:c r="R7" s="12" t="str">
        <x:v>当前公开区间基准；2025按2026年6月PPI同比+4.1%回推，2024按2025上半年PPI-2.8%回推</x:v>
      </x:c>
      <x:c r="S7" s="12" t="str">
        <x:v>SRC-018, SRC-009, SRC-010, SRC-011</x:v>
      </x:c>
    </x:row>
    <x:row r="8">
      <x:c r="A8" t="str">
        <x:v>CAPEX-004</x:v>
      </x:c>
      <x:c r="B8" t="str">
        <x:v>CAPEX</x:v>
      </x:c>
      <x:c r="C8" t="str">
        <x:v>厂房与洁净工程</x:v>
      </x:c>
      <x:c r="D8" t="str">
        <x:v>黄光CD-probe ISO7配制间</x:v>
      </x:c>
      <x:c r="E8" t="str">
        <x:v>m2</x:v>
      </x:c>
      <x:c r="F8" s="51" t="n">
        <x:v>1778.9163</x:v>
      </x:c>
      <x:c r="G8" s="51" t="n">
        <x:v>1729.1066</x:v>
      </x:c>
      <x:c r="H8" s="51" t="n">
        <x:v>1800</x:v>
      </x:c>
      <x:c r="I8" s="51" t="n">
        <x:v>1300</x:v>
      </x:c>
      <x:c r="J8" s="51" t="n">
        <x:v>2800</x:v>
      </x:c>
      <x:c r="K8" s="65" t="n">
        <x:f>IF(F8=0,0,G8/F8-1)</x:f>
        <x:v>-0.028000024509303834</x:v>
      </x:c>
      <x:c r="L8" s="65" t="n">
        <x:f>IF(G8=0,0,H8/G8-1)</x:f>
        <x:v>0.041000017003000266</x:v>
      </x:c>
      <x:c r="M8" s="65" t="n">
        <x:f>IF(H8=0,0,(J8-I8)/H8)</x:f>
        <x:v>0.8333333333333334</x:v>
      </x:c>
      <x:c r="N8" s="60" t="n">
        <x:v>3</x:v>
      </x:c>
      <x:c r="O8" s="60" t="n">
        <x:v>4</x:v>
      </x:c>
      <x:c r="P8" s="60" t="n">
        <x:v>4</x:v>
      </x:c>
      <x:c r="Q8" s="60" t="n">
        <x:f>N8*20%+O8*30%+P8*50%</x:f>
        <x:v>3.8</x:v>
      </x:c>
      <x:c r="R8" s="12" t="str">
        <x:v>当前公开区间基准；2025按2026年6月PPI同比+4.1%回推，2024按2025上半年PPI-2.8%回推</x:v>
      </x:c>
      <x:c r="S8" s="12" t="str">
        <x:v>SRC-018, SRC-009, SRC-010, SRC-011</x:v>
      </x:c>
    </x:row>
    <x:row r="9">
      <x:c r="A9" t="str">
        <x:v>CAPEX-005</x:v>
      </x:c>
      <x:c r="B9" t="str">
        <x:v>CAPEX</x:v>
      </x:c>
      <x:c r="C9" t="str">
        <x:v>厂房与洁净工程</x:v>
      </x:c>
      <x:c r="D9" t="str">
        <x:v>质粒对照负压配制间</x:v>
      </x:c>
      <x:c r="E9" t="str">
        <x:v>m2</x:v>
      </x:c>
      <x:c r="F9" s="51" t="n">
        <x:v>2174.231</x:v>
      </x:c>
      <x:c r="G9" s="51" t="n">
        <x:v>2113.3525</x:v>
      </x:c>
      <x:c r="H9" s="51" t="n">
        <x:v>2200</x:v>
      </x:c>
      <x:c r="I9" s="51" t="n">
        <x:v>1500</x:v>
      </x:c>
      <x:c r="J9" s="51" t="n">
        <x:v>3500</x:v>
      </x:c>
      <x:c r="K9" s="65" t="n">
        <x:f>IF(F9=0,0,G9/F9-1)</x:f>
        <x:v>-0.02800001471784752</x:v>
      </x:c>
      <x:c r="L9" s="65" t="n">
        <x:f>IF(G9=0,0,H9/G9-1)</x:f>
        <x:v>0.04100002247613688</x:v>
      </x:c>
      <x:c r="M9" s="65" t="n">
        <x:f>IF(H9=0,0,(J9-I9)/H9)</x:f>
        <x:v>0.9090909090909091</x:v>
      </x:c>
      <x:c r="N9" s="60" t="n">
        <x:v>3</x:v>
      </x:c>
      <x:c r="O9" s="60" t="n">
        <x:v>4</x:v>
      </x:c>
      <x:c r="P9" s="60" t="n">
        <x:v>4</x:v>
      </x:c>
      <x:c r="Q9" s="60" t="n">
        <x:f>N9*20%+O9*30%+P9*50%</x:f>
        <x:v>3.8</x:v>
      </x:c>
      <x:c r="R9" s="12" t="str">
        <x:v>当前公开区间基准；2025按2026年6月PPI同比+4.1%回推，2024按2025上半年PPI-2.8%回推</x:v>
      </x:c>
      <x:c r="S9" s="12" t="str">
        <x:v>SRC-018, SRC-009, SRC-010, SRC-011</x:v>
      </x:c>
    </x:row>
    <x:row r="10">
      <x:c r="A10" t="str">
        <x:v>CAPEX-006</x:v>
      </x:c>
      <x:c r="B10" t="str">
        <x:v>CAPEX</x:v>
      </x:c>
      <x:c r="C10" t="str">
        <x:v>厂房与洁净工程</x:v>
      </x:c>
      <x:c r="D10" t="str">
        <x:v>独立分装洁净区</x:v>
      </x:c>
      <x:c r="E10" t="str">
        <x:v>m2</x:v>
      </x:c>
      <x:c r="F10" s="51" t="n">
        <x:v>1778.9163</x:v>
      </x:c>
      <x:c r="G10" s="51" t="n">
        <x:v>1729.1066</x:v>
      </x:c>
      <x:c r="H10" s="51" t="n">
        <x:v>1800</x:v>
      </x:c>
      <x:c r="I10" s="51" t="n">
        <x:v>1200</x:v>
      </x:c>
      <x:c r="J10" s="51" t="n">
        <x:v>2800</x:v>
      </x:c>
      <x:c r="K10" s="65" t="n">
        <x:f>IF(F10=0,0,G10/F10-1)</x:f>
        <x:v>-0.028000024509303834</x:v>
      </x:c>
      <x:c r="L10" s="65" t="n">
        <x:f>IF(G10=0,0,H10/G10-1)</x:f>
        <x:v>0.041000017003000266</x:v>
      </x:c>
      <x:c r="M10" s="65" t="n">
        <x:f>IF(H10=0,0,(J10-I10)/H10)</x:f>
        <x:v>0.8888888888888888</x:v>
      </x:c>
      <x:c r="N10" s="60" t="n">
        <x:v>3</x:v>
      </x:c>
      <x:c r="O10" s="60" t="n">
        <x:v>4</x:v>
      </x:c>
      <x:c r="P10" s="60" t="n">
        <x:v>4</x:v>
      </x:c>
      <x:c r="Q10" s="60" t="n">
        <x:f>N10*20%+O10*30%+P10*50%</x:f>
        <x:v>3.8</x:v>
      </x:c>
      <x:c r="R10" s="12" t="str">
        <x:v>当前公开区间基准；2025按2026年6月PPI同比+4.1%回推，2024按2025上半年PPI-2.8%回推</x:v>
      </x:c>
      <x:c r="S10" s="12" t="str">
        <x:v>SRC-018, SRC-009, SRC-010, SRC-011</x:v>
      </x:c>
    </x:row>
    <x:row r="11">
      <x:c r="A11" t="str">
        <x:v>CAPEX-007</x:v>
      </x:c>
      <x:c r="B11" t="str">
        <x:v>CAPEX</x:v>
      </x:c>
      <x:c r="C11" t="str">
        <x:v>厂房与洁净工程</x:v>
      </x:c>
      <x:c r="D11" t="str">
        <x:v>试剂盒组装包装区</x:v>
      </x:c>
      <x:c r="E11" t="str">
        <x:v>m2</x:v>
      </x:c>
      <x:c r="F11" s="51" t="n">
        <x:v>1383.6015</x:v>
      </x:c>
      <x:c r="G11" s="51" t="n">
        <x:v>1344.8607</x:v>
      </x:c>
      <x:c r="H11" s="51" t="n">
        <x:v>1400</x:v>
      </x:c>
      <x:c r="I11" s="51" t="n">
        <x:v>1000</x:v>
      </x:c>
      <x:c r="J11" s="51" t="n">
        <x:v>1800</x:v>
      </x:c>
      <x:c r="K11" s="65" t="n">
        <x:f>IF(F11=0,0,G11/F11-1)</x:f>
        <x:v>-0.02799996964443885</x:v>
      </x:c>
      <x:c r="L11" s="65" t="n">
        <x:f>IF(G11=0,0,H11/G11-1)</x:f>
        <x:v>0.04100000840235718</x:v>
      </x:c>
      <x:c r="M11" s="65" t="n">
        <x:f>IF(H11=0,0,(J11-I11)/H11)</x:f>
        <x:v>0.5714285714285714</x:v>
      </x:c>
      <x:c r="N11" s="60" t="n">
        <x:v>3</x:v>
      </x:c>
      <x:c r="O11" s="60" t="n">
        <x:v>4</x:v>
      </x:c>
      <x:c r="P11" s="60" t="n">
        <x:v>4</x:v>
      </x:c>
      <x:c r="Q11" s="60" t="n">
        <x:f>N11*20%+O11*30%+P11*50%</x:f>
        <x:v>3.8</x:v>
      </x:c>
      <x:c r="R11" s="12" t="str">
        <x:v>当前公开区间基准；2025按2026年6月PPI同比+4.1%回推，2024按2025上半年PPI-2.8%回推</x:v>
      </x:c>
      <x:c r="S11" s="12" t="str">
        <x:v>SRC-017, SRC-009, SRC-010, SRC-011</x:v>
      </x:c>
    </x:row>
    <x:row r="12">
      <x:c r="A12" t="str">
        <x:v>CAPEX-008</x:v>
      </x:c>
      <x:c r="B12" t="str">
        <x:v>CAPEX</x:v>
      </x:c>
      <x:c r="C12" t="str">
        <x:v>厂房与洁净工程</x:v>
      </x:c>
      <x:c r="D12" t="str">
        <x:v>独立检验实验室改造</x:v>
      </x:c>
      <x:c r="E12" t="str">
        <x:v>m2</x:v>
      </x:c>
      <x:c r="F12" s="51" t="n">
        <x:v>1185.9442</x:v>
      </x:c>
      <x:c r="G12" s="51" t="n">
        <x:v>1152.7378</x:v>
      </x:c>
      <x:c r="H12" s="51" t="n">
        <x:v>1200</x:v>
      </x:c>
      <x:c r="I12" s="51" t="n">
        <x:v>700</x:v>
      </x:c>
      <x:c r="J12" s="51" t="n">
        <x:v>2000</x:v>
      </x:c>
      <x:c r="K12" s="65" t="n">
        <x:f>IF(F12=0,0,G12/F12-1)</x:f>
        <x:v>-0.027999968295304156</x:v>
      </x:c>
      <x:c r="L12" s="65" t="n">
        <x:f>IF(G12=0,0,H12/G12-1)</x:f>
        <x:v>0.04099995679850177</x:v>
      </x:c>
      <x:c r="M12" s="65" t="n">
        <x:f>IF(H12=0,0,(J12-I12)/H12)</x:f>
        <x:v>1.0833333333333333</x:v>
      </x:c>
      <x:c r="N12" s="60" t="n">
        <x:v>3</x:v>
      </x:c>
      <x:c r="O12" s="60" t="n">
        <x:v>3</x:v>
      </x:c>
      <x:c r="P12" s="60" t="n">
        <x:v>3</x:v>
      </x:c>
      <x:c r="Q12" s="60" t="n">
        <x:f>N12*20%+O12*30%+P12*50%</x:f>
        <x:v>3</x:v>
      </x:c>
      <x:c r="R12" s="12" t="str">
        <x:v>当前公开区间基准；2025按2026年6月PPI同比+4.1%回推，2024按2025上半年PPI-2.8%回推</x:v>
      </x:c>
      <x:c r="S12" s="12" t="str">
        <x:v>SRC-031, SRC-009, SRC-010, SRC-011</x:v>
      </x:c>
    </x:row>
    <x:row r="13">
      <x:c r="A13" t="str">
        <x:v>CAPEX-009</x:v>
      </x:c>
      <x:c r="B13" t="str">
        <x:v>CAPEX</x:v>
      </x:c>
      <x:c r="C13" t="str">
        <x:v>厂房与洁净工程</x:v>
      </x:c>
      <x:c r="D13" t="str">
        <x:v>更衣、缓冲、物流与留样区</x:v>
      </x:c>
      <x:c r="E13" t="str">
        <x:v>m2</x:v>
      </x:c>
      <x:c r="F13" s="51" t="n">
        <x:v>889.4581</x:v>
      </x:c>
      <x:c r="G13" s="51" t="n">
        <x:v>864.5533</x:v>
      </x:c>
      <x:c r="H13" s="51" t="n">
        <x:v>900</x:v>
      </x:c>
      <x:c r="I13" s="51" t="n">
        <x:v>500</x:v>
      </x:c>
      <x:c r="J13" s="51" t="n">
        <x:v>1500</x:v>
      </x:c>
      <x:c r="K13" s="65" t="n">
        <x:f>IF(F13=0,0,G13/F13-1)</x:f>
        <x:v>-0.027999969869294428</x:v>
      </x:c>
      <x:c r="L13" s="65" t="n">
        <x:f>IF(G13=0,0,H13/G13-1)</x:f>
        <x:v>0.041000017003000266</x:v>
      </x:c>
      <x:c r="M13" s="65" t="n">
        <x:f>IF(H13=0,0,(J13-I13)/H13)</x:f>
        <x:v>1.1111111111111112</x:v>
      </x:c>
      <x:c r="N13" s="60" t="n">
        <x:v>3</x:v>
      </x:c>
      <x:c r="O13" s="60" t="n">
        <x:v>3</x:v>
      </x:c>
      <x:c r="P13" s="60" t="n">
        <x:v>3</x:v>
      </x:c>
      <x:c r="Q13" s="60" t="n">
        <x:f>N13*20%+O13*30%+P13*50%</x:f>
        <x:v>3</x:v>
      </x:c>
      <x:c r="R13" s="12" t="str">
        <x:v>当前公开区间基准；2025按2026年6月PPI同比+4.1%回推，2024按2025上半年PPI-2.8%回推</x:v>
      </x:c>
      <x:c r="S13" s="12" t="str">
        <x:v>SRC-031, SRC-009, SRC-010, SRC-011</x:v>
      </x:c>
    </x:row>
    <x:row r="14">
      <x:c r="A14" t="str">
        <x:v>CAPEX-010</x:v>
      </x:c>
      <x:c r="B14" t="str">
        <x:v>CAPEX</x:v>
      </x:c>
      <x:c r="C14" t="str">
        <x:v>公用工程</x:v>
      </x:c>
      <x:c r="D14" t="str">
        <x:v>洁净HVAC系统</x:v>
      </x:c>
      <x:c r="E14" t="str">
        <x:v>m2服务面积</x:v>
      </x:c>
      <x:c r="F14" s="51" t="n">
        <x:v>1778.9163</x:v>
      </x:c>
      <x:c r="G14" s="51" t="n">
        <x:v>1729.1066</x:v>
      </x:c>
      <x:c r="H14" s="51" t="n">
        <x:v>1800</x:v>
      </x:c>
      <x:c r="I14" s="51" t="n">
        <x:v>1200</x:v>
      </x:c>
      <x:c r="J14" s="51" t="n">
        <x:v>2800</x:v>
      </x:c>
      <x:c r="K14" s="65" t="n">
        <x:f>IF(F14=0,0,G14/F14-1)</x:f>
        <x:v>-0.028000024509303834</x:v>
      </x:c>
      <x:c r="L14" s="65" t="n">
        <x:f>IF(G14=0,0,H14/G14-1)</x:f>
        <x:v>0.041000017003000266</x:v>
      </x:c>
      <x:c r="M14" s="65" t="n">
        <x:f>IF(H14=0,0,(J14-I14)/H14)</x:f>
        <x:v>0.8888888888888888</x:v>
      </x:c>
      <x:c r="N14" s="60" t="n">
        <x:v>3</x:v>
      </x:c>
      <x:c r="O14" s="60" t="n">
        <x:v>4</x:v>
      </x:c>
      <x:c r="P14" s="60" t="n">
        <x:v>4</x:v>
      </x:c>
      <x:c r="Q14" s="60" t="n">
        <x:f>N14*20%+O14*30%+P14*50%</x:f>
        <x:v>3.8</x:v>
      </x:c>
      <x:c r="R14" s="12" t="str">
        <x:v>当前公开区间基准；2025按2026年6月PPI同比+4.1%回推，2024按2025上半年PPI-2.8%回推</x:v>
      </x:c>
      <x:c r="S14" s="12" t="str">
        <x:v>SRC-017, SRC-018, SRC-009, SRC-010, SRC-011</x:v>
      </x:c>
    </x:row>
    <x:row r="15">
      <x:c r="A15" t="str">
        <x:v>CAPEX-011</x:v>
      </x:c>
      <x:c r="B15" t="str">
        <x:v>CAPEX</x:v>
      </x:c>
      <x:c r="C15" t="str">
        <x:v>公用工程</x:v>
      </x:c>
      <x:c r="D15" t="str">
        <x:v>HEPA及压差环境监测</x:v>
      </x:c>
      <x:c r="E15" t="str">
        <x:v>套</x:v>
      </x:c>
      <x:c r="F15" s="51" t="n">
        <x:v>345900.3886</x:v>
      </x:c>
      <x:c r="G15" s="51" t="n">
        <x:v>336215.1777</x:v>
      </x:c>
      <x:c r="H15" s="51" t="n">
        <x:v>350000</x:v>
      </x:c>
      <x:c r="I15" s="51" t="n">
        <x:v>220000</x:v>
      </x:c>
      <x:c r="J15" s="51" t="n">
        <x:v>650000</x:v>
      </x:c>
      <x:c r="K15" s="65" t="n">
        <x:f>IF(F15=0,0,G15/F15-1)</x:f>
        <x:v>-0.02800000005550729</x:v>
      </x:c>
      <x:c r="L15" s="65" t="n">
        <x:f>IF(G15=0,0,H15/G15-1)</x:f>
        <x:v>0.04100000004253235</x:v>
      </x:c>
      <x:c r="M15" s="65" t="n">
        <x:f>IF(H15=0,0,(J15-I15)/H15)</x:f>
        <x:v>1.2285714285714286</x:v>
      </x:c>
      <x:c r="N15" s="60" t="n">
        <x:v>3</x:v>
      </x:c>
      <x:c r="O15" s="60" t="n">
        <x:v>3</x:v>
      </x:c>
      <x:c r="P15" s="60" t="n">
        <x:v>3</x:v>
      </x:c>
      <x:c r="Q15" s="60" t="n">
        <x:f>N15*20%+O15*30%+P15*50%</x:f>
        <x:v>3</x:v>
      </x:c>
      <x:c r="R15" s="12" t="str">
        <x:v>当前公开区间基准；2025按2026年6月PPI同比+4.1%回推，2024按2025上半年PPI-2.8%回推</x:v>
      </x:c>
      <x:c r="S15" s="12" t="str">
        <x:v>SRC-031, SRC-009, SRC-010, SRC-011</x:v>
      </x:c>
    </x:row>
    <x:row r="16">
      <x:c r="A16" t="str">
        <x:v>CAPEX-012</x:v>
      </x:c>
      <x:c r="B16" t="str">
        <x:v>CAPEX</x:v>
      </x:c>
      <x:c r="C16" t="str">
        <x:v>公用工程</x:v>
      </x:c>
      <x:c r="D16" t="str">
        <x:v>质粒间独立负压排风系统</x:v>
      </x:c>
      <x:c r="E16" t="str">
        <x:v>套</x:v>
      </x:c>
      <x:c r="F16" s="51" t="n">
        <x:v>247071.7062</x:v>
      </x:c>
      <x:c r="G16" s="51" t="n">
        <x:v>240153.6984</x:v>
      </x:c>
      <x:c r="H16" s="51" t="n">
        <x:v>250000</x:v>
      </x:c>
      <x:c r="I16" s="51" t="n">
        <x:v>150000</x:v>
      </x:c>
      <x:c r="J16" s="51" t="n">
        <x:v>500000</x:v>
      </x:c>
      <x:c r="K16" s="65" t="n">
        <x:f>IF(F16=0,0,G16/F16-1)</x:f>
        <x:v>-0.028000000106851552</x:v>
      </x:c>
      <x:c r="L16" s="65" t="n">
        <x:f>IF(G16=0,0,H16/G16-1)</x:f>
        <x:v>0.04099999985675851</x:v>
      </x:c>
      <x:c r="M16" s="65" t="n">
        <x:f>IF(H16=0,0,(J16-I16)/H16)</x:f>
        <x:v>1.4</x:v>
      </x:c>
      <x:c r="N16" s="60" t="n">
        <x:v>3</x:v>
      </x:c>
      <x:c r="O16" s="60" t="n">
        <x:v>3</x:v>
      </x:c>
      <x:c r="P16" s="60" t="n">
        <x:v>3</x:v>
      </x:c>
      <x:c r="Q16" s="60" t="n">
        <x:f>N16*20%+O16*30%+P16*50%</x:f>
        <x:v>3</x:v>
      </x:c>
      <x:c r="R16" s="12" t="str">
        <x:v>当前公开区间基准；2025按2026年6月PPI同比+4.1%回推，2024按2025上半年PPI-2.8%回推</x:v>
      </x:c>
      <x:c r="S16" s="12" t="str">
        <x:v>SRC-031, SRC-009, SRC-010, SRC-011</x:v>
      </x:c>
    </x:row>
    <x:row r="17">
      <x:c r="A17" t="str">
        <x:v>CAPEX-013</x:v>
      </x:c>
      <x:c r="B17" t="str">
        <x:v>CAPEX</x:v>
      </x:c>
      <x:c r="C17" t="str">
        <x:v>公用工程</x:v>
      </x:c>
      <x:c r="D17" t="str">
        <x:v>黄光避光照明系统</x:v>
      </x:c>
      <x:c r="E17" t="str">
        <x:v>套</x:v>
      </x:c>
      <x:c r="F17" s="51" t="n">
        <x:v>49414.3413</x:v>
      </x:c>
      <x:c r="G17" s="51" t="n">
        <x:v>48030.7397</x:v>
      </x:c>
      <x:c r="H17" s="51" t="n">
        <x:v>50000</x:v>
      </x:c>
      <x:c r="I17" s="51" t="n">
        <x:v>25000</x:v>
      </x:c>
      <x:c r="J17" s="51" t="n">
        <x:v>100000</x:v>
      </x:c>
      <x:c r="K17" s="65" t="n">
        <x:f>IF(F17=0,0,G17/F17-1)</x:f>
        <x:v>-0.028000000882335008</x:v>
      </x:c>
      <x:c r="L17" s="65" t="n">
        <x:f>IF(G17=0,0,H17/G17-1)</x:f>
        <x:v>0.04099999942328614</x:v>
      </x:c>
      <x:c r="M17" s="65" t="n">
        <x:f>IF(H17=0,0,(J17-I17)/H17)</x:f>
        <x:v>1.5</x:v>
      </x:c>
      <x:c r="N17" s="60" t="n">
        <x:v>3</x:v>
      </x:c>
      <x:c r="O17" s="60" t="n">
        <x:v>3</x:v>
      </x:c>
      <x:c r="P17" s="60" t="n">
        <x:v>3</x:v>
      </x:c>
      <x:c r="Q17" s="60" t="n">
        <x:f>N17*20%+O17*30%+P17*50%</x:f>
        <x:v>3</x:v>
      </x:c>
      <x:c r="R17" s="12" t="str">
        <x:v>当前公开区间基准；2025按2026年6月PPI同比+4.1%回推，2024按2025上半年PPI-2.8%回推</x:v>
      </x:c>
      <x:c r="S17" s="12" t="str">
        <x:v>SRC-031, SRC-009, SRC-010, SRC-011</x:v>
      </x:c>
    </x:row>
    <x:row r="18">
      <x:c r="A18" t="str">
        <x:v>CAPEX-014</x:v>
      </x:c>
      <x:c r="B18" t="str">
        <x:v>CAPEX</x:v>
      </x:c>
      <x:c r="C18" t="str">
        <x:v>公用工程</x:v>
      </x:c>
      <x:c r="D18" t="str">
        <x:v>实验/工艺纯化水设备及管路</x:v>
      </x:c>
      <x:c r="E18" t="str">
        <x:v>套</x:v>
      </x:c>
      <x:c r="F18" s="51" t="n">
        <x:v>177891.6284</x:v>
      </x:c>
      <x:c r="G18" s="51" t="n">
        <x:v>172910.6628</x:v>
      </x:c>
      <x:c r="H18" s="51" t="n">
        <x:v>180000</x:v>
      </x:c>
      <x:c r="I18" s="51" t="n">
        <x:v>80000</x:v>
      </x:c>
      <x:c r="J18" s="51" t="n">
        <x:v>350000</x:v>
      </x:c>
      <x:c r="K18" s="65" t="n">
        <x:f>IF(F18=0,0,G18/F18-1)</x:f>
        <x:v>-0.028000000026982663</x:v>
      </x:c>
      <x:c r="L18" s="65" t="n">
        <x:f>IF(G18=0,0,H18/G18-1)</x:f>
        <x:v>0.04100000014574001</x:v>
      </x:c>
      <x:c r="M18" s="65" t="n">
        <x:f>IF(H18=0,0,(J18-I18)/H18)</x:f>
        <x:v>1.5</x:v>
      </x:c>
      <x:c r="N18" s="60" t="n">
        <x:v>3</x:v>
      </x:c>
      <x:c r="O18" s="60" t="n">
        <x:v>3</x:v>
      </x:c>
      <x:c r="P18" s="60" t="n">
        <x:v>3</x:v>
      </x:c>
      <x:c r="Q18" s="60" t="n">
        <x:f>N18*20%+O18*30%+P18*50%</x:f>
        <x:v>3</x:v>
      </x:c>
      <x:c r="R18" s="12" t="str">
        <x:v>当前公开区间基准；2025按2026年6月PPI同比+4.1%回推，2024按2025上半年PPI-2.8%回推</x:v>
      </x:c>
      <x:c r="S18" s="12" t="str">
        <x:v>SRC-026, SRC-009, SRC-010, SRC-011</x:v>
      </x:c>
    </x:row>
    <x:row r="19">
      <x:c r="A19" t="str">
        <x:v>CAPEX-015</x:v>
      </x:c>
      <x:c r="B19" t="str">
        <x:v>CAPEX</x:v>
      </x:c>
      <x:c r="C19" t="str">
        <x:v>公用工程</x:v>
      </x:c>
      <x:c r="D19" t="str">
        <x:v>工业污水预处理设施</x:v>
      </x:c>
      <x:c r="E19" t="str">
        <x:v>套</x:v>
      </x:c>
      <x:c r="F19" s="51" t="n">
        <x:v>148243.0237</x:v>
      </x:c>
      <x:c r="G19" s="51" t="n">
        <x:v>144092.219</x:v>
      </x:c>
      <x:c r="H19" s="51" t="n">
        <x:v>150000</x:v>
      </x:c>
      <x:c r="I19" s="51" t="n">
        <x:v>80000</x:v>
      </x:c>
      <x:c r="J19" s="51" t="n">
        <x:v>400000</x:v>
      </x:c>
      <x:c r="K19" s="65" t="n">
        <x:f>IF(F19=0,0,G19/F19-1)</x:f>
        <x:v>-0.02800000024554261</x:v>
      </x:c>
      <x:c r="L19" s="65" t="n">
        <x:f>IF(G19=0,0,H19/G19-1)</x:f>
        <x:v>0.04100000014574001</x:v>
      </x:c>
      <x:c r="M19" s="65" t="n">
        <x:f>IF(H19=0,0,(J19-I19)/H19)</x:f>
        <x:v>2.1333333333333333</x:v>
      </x:c>
      <x:c r="N19" s="60" t="n">
        <x:v>2</x:v>
      </x:c>
      <x:c r="O19" s="60" t="n">
        <x:v>2</x:v>
      </x:c>
      <x:c r="P19" s="60" t="n">
        <x:v>2</x:v>
      </x:c>
      <x:c r="Q19" s="60" t="n">
        <x:f>N19*20%+O19*30%+P19*50%</x:f>
        <x:v>2</x:v>
      </x:c>
      <x:c r="R19" s="12" t="str">
        <x:v>当前公开区间基准；2025按2026年6月PPI同比+4.1%回推，2024按2025上半年PPI-2.8%回推</x:v>
      </x:c>
      <x:c r="S19" s="12" t="str">
        <x:v>SRC-031, SRC-009, SRC-010, SRC-011</x:v>
      </x:c>
    </x:row>
    <x:row r="20">
      <x:c r="A20" t="str">
        <x:v>CAPEX-016</x:v>
      </x:c>
      <x:c r="B20" t="str">
        <x:v>CAPEX</x:v>
      </x:c>
      <x:c r="C20" t="str">
        <x:v>EHS</x:v>
      </x:c>
      <x:c r="D20" t="str">
        <x:v>危废暂存间设施</x:v>
      </x:c>
      <x:c r="E20" t="str">
        <x:v>套</x:v>
      </x:c>
      <x:c r="F20" s="51" t="n">
        <x:v>49414.3413</x:v>
      </x:c>
      <x:c r="G20" s="51" t="n">
        <x:v>48030.7397</x:v>
      </x:c>
      <x:c r="H20" s="51" t="n">
        <x:v>50000</x:v>
      </x:c>
      <x:c r="I20" s="51" t="n">
        <x:v>25000</x:v>
      </x:c>
      <x:c r="J20" s="51" t="n">
        <x:v>120000</x:v>
      </x:c>
      <x:c r="K20" s="65" t="n">
        <x:f>IF(F20=0,0,G20/F20-1)</x:f>
        <x:v>-0.028000000882335008</x:v>
      </x:c>
      <x:c r="L20" s="65" t="n">
        <x:f>IF(G20=0,0,H20/G20-1)</x:f>
        <x:v>0.04099999942328614</x:v>
      </x:c>
      <x:c r="M20" s="65" t="n">
        <x:f>IF(H20=0,0,(J20-I20)/H20)</x:f>
        <x:v>1.9</x:v>
      </x:c>
      <x:c r="N20" s="60" t="n">
        <x:v>2</x:v>
      </x:c>
      <x:c r="O20" s="60" t="n">
        <x:v>2</x:v>
      </x:c>
      <x:c r="P20" s="60" t="n">
        <x:v>2</x:v>
      </x:c>
      <x:c r="Q20" s="60" t="n">
        <x:f>N20*20%+O20*30%+P20*50%</x:f>
        <x:v>2</x:v>
      </x:c>
      <x:c r="R20" s="12" t="str">
        <x:v>当前公开区间基准；2025按2026年6月PPI同比+4.1%回推，2024按2025上半年PPI-2.8%回推</x:v>
      </x:c>
      <x:c r="S20" s="12" t="str">
        <x:v>SRC-031, SRC-009, SRC-010, SRC-011</x:v>
      </x:c>
    </x:row>
    <x:row r="21">
      <x:c r="A21" t="str">
        <x:v>CAPEX-017</x:v>
      </x:c>
      <x:c r="B21" t="str">
        <x:v>CAPEX</x:v>
      </x:c>
      <x:c r="C21" t="str">
        <x:v>公用工程</x:v>
      </x:c>
      <x:c r="D21" t="str">
        <x:v>双回路配电及动力改造</x:v>
      </x:c>
      <x:c r="E21" t="str">
        <x:v>套</x:v>
      </x:c>
      <x:c r="F21" s="51" t="n">
        <x:v>296486.0473</x:v>
      </x:c>
      <x:c r="G21" s="51" t="n">
        <x:v>288184.438</x:v>
      </x:c>
      <x:c r="H21" s="51" t="n">
        <x:v>300000</x:v>
      </x:c>
      <x:c r="I21" s="51" t="n">
        <x:v>180000</x:v>
      </x:c>
      <x:c r="J21" s="51" t="n">
        <x:v>600000</x:v>
      </x:c>
      <x:c r="K21" s="65" t="n">
        <x:f>IF(F21=0,0,G21/F21-1)</x:f>
        <x:v>-0.027999999917702523</x:v>
      </x:c>
      <x:c r="L21" s="65" t="n">
        <x:f>IF(G21=0,0,H21/G21-1)</x:f>
        <x:v>0.04100000014574001</x:v>
      </x:c>
      <x:c r="M21" s="65" t="n">
        <x:f>IF(H21=0,0,(J21-I21)/H21)</x:f>
        <x:v>1.4</x:v>
      </x:c>
      <x:c r="N21" s="60" t="n">
        <x:v>3</x:v>
      </x:c>
      <x:c r="O21" s="60" t="n">
        <x:v>3</x:v>
      </x:c>
      <x:c r="P21" s="60" t="n">
        <x:v>3</x:v>
      </x:c>
      <x:c r="Q21" s="60" t="n">
        <x:f>N21*20%+O21*30%+P21*50%</x:f>
        <x:v>3</x:v>
      </x:c>
      <x:c r="R21" s="12" t="str">
        <x:v>当前公开区间基准；2025按2026年6月PPI同比+4.1%回推，2024按2025上半年PPI-2.8%回推</x:v>
      </x:c>
      <x:c r="S21" s="12" t="str">
        <x:v>SRC-031, SRC-009, SRC-010, SRC-011</x:v>
      </x:c>
    </x:row>
    <x:row r="22">
      <x:c r="A22" t="str">
        <x:v>CAPEX-018</x:v>
      </x:c>
      <x:c r="B22" t="str">
        <x:v>CAPEX</x:v>
      </x:c>
      <x:c r="C22" t="str">
        <x:v>公用工程</x:v>
      </x:c>
      <x:c r="D22" t="str">
        <x:v>关键仪器与信息系统UPS</x:v>
      </x:c>
      <x:c r="E22" t="str">
        <x:v>套</x:v>
      </x:c>
      <x:c r="F22" s="51" t="n">
        <x:v>49414.3413</x:v>
      </x:c>
      <x:c r="G22" s="51" t="n">
        <x:v>48030.7397</x:v>
      </x:c>
      <x:c r="H22" s="51" t="n">
        <x:v>50000</x:v>
      </x:c>
      <x:c r="I22" s="51" t="n">
        <x:v>25000</x:v>
      </x:c>
      <x:c r="J22" s="51" t="n">
        <x:v>120000</x:v>
      </x:c>
      <x:c r="K22" s="65" t="n">
        <x:f>IF(F22=0,0,G22/F22-1)</x:f>
        <x:v>-0.028000000882335008</x:v>
      </x:c>
      <x:c r="L22" s="65" t="n">
        <x:f>IF(G22=0,0,H22/G22-1)</x:f>
        <x:v>0.04099999942328614</x:v>
      </x:c>
      <x:c r="M22" s="65" t="n">
        <x:f>IF(H22=0,0,(J22-I22)/H22)</x:f>
        <x:v>1.9</x:v>
      </x:c>
      <x:c r="N22" s="60" t="n">
        <x:v>3</x:v>
      </x:c>
      <x:c r="O22" s="60" t="n">
        <x:v>3</x:v>
      </x:c>
      <x:c r="P22" s="60" t="n">
        <x:v>3</x:v>
      </x:c>
      <x:c r="Q22" s="60" t="n">
        <x:f>N22*20%+O22*30%+P22*50%</x:f>
        <x:v>3</x:v>
      </x:c>
      <x:c r="R22" s="12" t="str">
        <x:v>当前公开区间基准；2025按2026年6月PPI同比+4.1%回推，2024按2025上半年PPI-2.8%回推</x:v>
      </x:c>
      <x:c r="S22" s="12" t="str">
        <x:v>SRC-031, SRC-009, SRC-010, SRC-011</x:v>
      </x:c>
    </x:row>
    <x:row r="23">
      <x:c r="A23" t="str">
        <x:v>CAPEX-019</x:v>
      </x:c>
      <x:c r="B23" t="str">
        <x:v>CAPEX</x:v>
      </x:c>
      <x:c r="C23" t="str">
        <x:v>公用工程</x:v>
      </x:c>
      <x:c r="D23" t="str">
        <x:v>柴油发电机及ATS</x:v>
      </x:c>
      <x:c r="E23" t="str">
        <x:v>套</x:v>
      </x:c>
      <x:c r="F23" s="51" t="n">
        <x:v>217423.1014</x:v>
      </x:c>
      <x:c r="G23" s="51" t="n">
        <x:v>211335.2546</x:v>
      </x:c>
      <x:c r="H23" s="51" t="n">
        <x:v>220000</x:v>
      </x:c>
      <x:c r="I23" s="51" t="n">
        <x:v>120000</x:v>
      </x:c>
      <x:c r="J23" s="51" t="n">
        <x:v>450000</x:v>
      </x:c>
      <x:c r="K23" s="65" t="n">
        <x:f>IF(F23=0,0,G23/F23-1)</x:f>
        <x:v>-0.027999999819706467</x:v>
      </x:c>
      <x:c r="L23" s="65" t="n">
        <x:f>IF(G23=0,0,H23/G23-1)</x:f>
        <x:v>0.04099999981735181</x:v>
      </x:c>
      <x:c r="M23" s="65" t="n">
        <x:f>IF(H23=0,0,(J23-I23)/H23)</x:f>
        <x:v>1.5</x:v>
      </x:c>
      <x:c r="N23" s="60" t="n">
        <x:v>3</x:v>
      </x:c>
      <x:c r="O23" s="60" t="n">
        <x:v>3</x:v>
      </x:c>
      <x:c r="P23" s="60" t="n">
        <x:v>3</x:v>
      </x:c>
      <x:c r="Q23" s="60" t="n">
        <x:f>N23*20%+O23*30%+P23*50%</x:f>
        <x:v>3</x:v>
      </x:c>
      <x:c r="R23" s="12" t="str">
        <x:v>当前公开区间基准；2025按2026年6月PPI同比+4.1%回推，2024按2025上半年PPI-2.8%回推</x:v>
      </x:c>
      <x:c r="S23" s="12" t="str">
        <x:v>SRC-027, SRC-009, SRC-010, SRC-011</x:v>
      </x:c>
    </x:row>
    <x:row r="24">
      <x:c r="A24" t="str">
        <x:v>CAPEX-020</x:v>
      </x:c>
      <x:c r="B24" t="str">
        <x:v>CAPEX</x:v>
      </x:c>
      <x:c r="C24" t="str">
        <x:v>厂务设施</x:v>
      </x:c>
      <x:c r="D24" t="str">
        <x:v>消防、门禁、监控及报警</x:v>
      </x:c>
      <x:c r="E24" t="str">
        <x:v>套</x:v>
      </x:c>
      <x:c r="F24" s="51" t="n">
        <x:v>177891.6284</x:v>
      </x:c>
      <x:c r="G24" s="51" t="n">
        <x:v>172910.6628</x:v>
      </x:c>
      <x:c r="H24" s="51" t="n">
        <x:v>180000</x:v>
      </x:c>
      <x:c r="I24" s="51" t="n">
        <x:v>100000</x:v>
      </x:c>
      <x:c r="J24" s="51" t="n">
        <x:v>350000</x:v>
      </x:c>
      <x:c r="K24" s="65" t="n">
        <x:f>IF(F24=0,0,G24/F24-1)</x:f>
        <x:v>-0.028000000026982663</x:v>
      </x:c>
      <x:c r="L24" s="65" t="n">
        <x:f>IF(G24=0,0,H24/G24-1)</x:f>
        <x:v>0.04100000014574001</x:v>
      </x:c>
      <x:c r="M24" s="65" t="n">
        <x:f>IF(H24=0,0,(J24-I24)/H24)</x:f>
        <x:v>1.3888888888888888</x:v>
      </x:c>
      <x:c r="N24" s="60" t="n">
        <x:v>3</x:v>
      </x:c>
      <x:c r="O24" s="60" t="n">
        <x:v>3</x:v>
      </x:c>
      <x:c r="P24" s="60" t="n">
        <x:v>3</x:v>
      </x:c>
      <x:c r="Q24" s="60" t="n">
        <x:f>N24*20%+O24*30%+P24*50%</x:f>
        <x:v>3</x:v>
      </x:c>
      <x:c r="R24" s="12" t="str">
        <x:v>当前公开区间基准；2025按2026年6月PPI同比+4.1%回推，2024按2025上半年PPI-2.8%回推</x:v>
      </x:c>
      <x:c r="S24" s="12" t="str">
        <x:v>SRC-031, SRC-009, SRC-010, SRC-011</x:v>
      </x:c>
    </x:row>
    <x:row r="25">
      <x:c r="A25" t="str">
        <x:v>CAPEX-021</x:v>
      </x:c>
      <x:c r="B25" t="str">
        <x:v>CAPEX</x:v>
      </x:c>
      <x:c r="C25" t="str">
        <x:v>仓储冷链</x:v>
      </x:c>
      <x:c r="D25" t="str">
        <x:v>-20C原料冷库</x:v>
      </x:c>
      <x:c r="E25" t="str">
        <x:v>m3</x:v>
      </x:c>
      <x:c r="F25" s="51" t="n">
        <x:v>4447.2907</x:v>
      </x:c>
      <x:c r="G25" s="51" t="n">
        <x:v>4322.7666</x:v>
      </x:c>
      <x:c r="H25" s="51" t="n">
        <x:v>4500</x:v>
      </x:c>
      <x:c r="I25" s="51" t="n">
        <x:v>3000</x:v>
      </x:c>
      <x:c r="J25" s="51" t="n">
        <x:v>7000</x:v>
      </x:c>
      <x:c r="K25" s="65" t="n">
        <x:f>IF(F25=0,0,G25/F25-1)</x:f>
        <x:v>-0.02799999109570228</x:v>
      </x:c>
      <x:c r="L25" s="65" t="n">
        <x:f>IF(G25=0,0,H25/G25-1)</x:f>
        <x:v>0.04099999292120016</x:v>
      </x:c>
      <x:c r="M25" s="65" t="n">
        <x:f>IF(H25=0,0,(J25-I25)/H25)</x:f>
        <x:v>0.8888888888888888</x:v>
      </x:c>
      <x:c r="N25" s="60" t="n">
        <x:v>3</x:v>
      </x:c>
      <x:c r="O25" s="60" t="n">
        <x:v>4</x:v>
      </x:c>
      <x:c r="P25" s="60" t="n">
        <x:v>4</x:v>
      </x:c>
      <x:c r="Q25" s="60" t="n">
        <x:f>N25*20%+O25*30%+P25*50%</x:f>
        <x:v>3.8</x:v>
      </x:c>
      <x:c r="R25" s="12" t="str">
        <x:v>当前公开区间基准；2025按2026年6月PPI同比+4.1%回推，2024按2025上半年PPI-2.8%回推</x:v>
      </x:c>
      <x:c r="S25" s="12" t="str">
        <x:v>SRC-024, SRC-009, SRC-010, SRC-011</x:v>
      </x:c>
    </x:row>
    <x:row r="26">
      <x:c r="A26" t="str">
        <x:v>CAPEX-022</x:v>
      </x:c>
      <x:c r="B26" t="str">
        <x:v>CAPEX</x:v>
      </x:c>
      <x:c r="C26" t="str">
        <x:v>仓储冷链</x:v>
      </x:c>
      <x:c r="D26" t="str">
        <x:v>-20C避光成品冷库</x:v>
      </x:c>
      <x:c r="E26" t="str">
        <x:v>m3</x:v>
      </x:c>
      <x:c r="F26" s="51" t="n">
        <x:v>4743.7767</x:v>
      </x:c>
      <x:c r="G26" s="51" t="n">
        <x:v>4610.951</x:v>
      </x:c>
      <x:c r="H26" s="51" t="n">
        <x:v>4800</x:v>
      </x:c>
      <x:c r="I26" s="51" t="n">
        <x:v>3200</x:v>
      </x:c>
      <x:c r="J26" s="51" t="n">
        <x:v>7500</x:v>
      </x:c>
      <x:c r="K26" s="65" t="n">
        <x:f>IF(F26=0,0,G26/F26-1)</x:f>
        <x:v>-0.027999989965800998</x:v>
      </x:c>
      <x:c r="L26" s="65" t="n">
        <x:f>IF(G26=0,0,H26/G26-1)</x:f>
        <x:v>0.04100000195187503</x:v>
      </x:c>
      <x:c r="M26" s="65" t="n">
        <x:f>IF(H26=0,0,(J26-I26)/H26)</x:f>
        <x:v>0.8958333333333334</x:v>
      </x:c>
      <x:c r="N26" s="60" t="n">
        <x:v>3</x:v>
      </x:c>
      <x:c r="O26" s="60" t="n">
        <x:v>4</x:v>
      </x:c>
      <x:c r="P26" s="60" t="n">
        <x:v>4</x:v>
      </x:c>
      <x:c r="Q26" s="60" t="n">
        <x:f>N26*20%+O26*30%+P26*50%</x:f>
        <x:v>3.8</x:v>
      </x:c>
      <x:c r="R26" s="12" t="str">
        <x:v>当前公开区间基准；2025按2026年6月PPI同比+4.1%回推，2024按2025上半年PPI-2.8%回推</x:v>
      </x:c>
      <x:c r="S26" s="12" t="str">
        <x:v>SRC-024, SRC-009, SRC-010, SRC-011</x:v>
      </x:c>
    </x:row>
    <x:row r="27">
      <x:c r="A27" t="str">
        <x:v>CAPEX-023</x:v>
      </x:c>
      <x:c r="B27" t="str">
        <x:v>CAPEX</x:v>
      </x:c>
      <x:c r="C27" t="str">
        <x:v>仓储冷链</x:v>
      </x:c>
      <x:c r="D27" t="str">
        <x:v>2-8C原料及半成品库</x:v>
      </x:c>
      <x:c r="E27" t="str">
        <x:v>m3</x:v>
      </x:c>
      <x:c r="F27" s="51" t="n">
        <x:v>2767.2031</x:v>
      </x:c>
      <x:c r="G27" s="51" t="n">
        <x:v>2689.7214</x:v>
      </x:c>
      <x:c r="H27" s="51" t="n">
        <x:v>2800</x:v>
      </x:c>
      <x:c r="I27" s="51" t="n">
        <x:v>1800</x:v>
      </x:c>
      <x:c r="J27" s="51" t="n">
        <x:v>5000</x:v>
      </x:c>
      <x:c r="K27" s="65" t="n">
        <x:f>IF(F27=0,0,G27/F27-1)</x:f>
        <x:v>-0.028000004770159514</x:v>
      </x:c>
      <x:c r="L27" s="65" t="n">
        <x:f>IF(G27=0,0,H27/G27-1)</x:f>
        <x:v>0.04100000840235718</x:v>
      </x:c>
      <x:c r="M27" s="65" t="n">
        <x:f>IF(H27=0,0,(J27-I27)/H27)</x:f>
        <x:v>1.1428571428571428</x:v>
      </x:c>
      <x:c r="N27" s="60" t="n">
        <x:v>3</x:v>
      </x:c>
      <x:c r="O27" s="60" t="n">
        <x:v>4</x:v>
      </x:c>
      <x:c r="P27" s="60" t="n">
        <x:v>4</x:v>
      </x:c>
      <x:c r="Q27" s="60" t="n">
        <x:f>N27*20%+O27*30%+P27*50%</x:f>
        <x:v>3.8</x:v>
      </x:c>
      <x:c r="R27" s="12" t="str">
        <x:v>当前公开区间基准；2025按2026年6月PPI同比+4.1%回推，2024按2025上半年PPI-2.8%回推</x:v>
      </x:c>
      <x:c r="S27" s="12" t="str">
        <x:v>SRC-024, SRC-009, SRC-010, SRC-011</x:v>
      </x:c>
    </x:row>
    <x:row r="28">
      <x:c r="A28" t="str">
        <x:v>CAPEX-024</x:v>
      </x:c>
      <x:c r="B28" t="str">
        <x:v>CAPEX</x:v>
      </x:c>
      <x:c r="C28" t="str">
        <x:v>仓储冷链</x:v>
      </x:c>
      <x:c r="D28" t="str">
        <x:v>冷库温度监控报警与记录</x:v>
      </x:c>
      <x:c r="E28" t="str">
        <x:v>套</x:v>
      </x:c>
      <x:c r="F28" s="51" t="n">
        <x:v>79062.946</x:v>
      </x:c>
      <x:c r="G28" s="51" t="n">
        <x:v>76849.1835</x:v>
      </x:c>
      <x:c r="H28" s="51" t="n">
        <x:v>80000</x:v>
      </x:c>
      <x:c r="I28" s="51" t="n">
        <x:v>40000</x:v>
      </x:c>
      <x:c r="J28" s="51" t="n">
        <x:v>180000</x:v>
      </x:c>
      <x:c r="K28" s="65" t="n">
        <x:f>IF(F28=0,0,G28/F28-1)</x:f>
        <x:v>-0.028000000151777726</x:v>
      </x:c>
      <x:c r="L28" s="65" t="n">
        <x:f>IF(G28=0,0,H28/G28-1)</x:f>
        <x:v>0.04099999969420631</x:v>
      </x:c>
      <x:c r="M28" s="65" t="n">
        <x:f>IF(H28=0,0,(J28-I28)/H28)</x:f>
        <x:v>1.75</x:v>
      </x:c>
      <x:c r="N28" s="60" t="n">
        <x:v>3</x:v>
      </x:c>
      <x:c r="O28" s="60" t="n">
        <x:v>3</x:v>
      </x:c>
      <x:c r="P28" s="60" t="n">
        <x:v>3</x:v>
      </x:c>
      <x:c r="Q28" s="60" t="n">
        <x:f>N28*20%+O28*30%+P28*50%</x:f>
        <x:v>3</x:v>
      </x:c>
      <x:c r="R28" s="12" t="str">
        <x:v>当前公开区间基准；2025按2026年6月PPI同比+4.1%回推，2024按2025上半年PPI-2.8%回推</x:v>
      </x:c>
      <x:c r="S28" s="12" t="str">
        <x:v>SRC-024, SRC-009, SRC-010, SRC-011</x:v>
      </x:c>
    </x:row>
    <x:row r="29">
      <x:c r="A29" t="str">
        <x:v>CAPEX-025</x:v>
      </x:c>
      <x:c r="B29" t="str">
        <x:v>CAPEX</x:v>
      </x:c>
      <x:c r="C29" t="str">
        <x:v>生产设备</x:v>
      </x:c>
      <x:c r="D29" t="str">
        <x:v>PCR Mix低温配液系统</x:v>
      </x:c>
      <x:c r="E29" t="str">
        <x:v>套</x:v>
      </x:c>
      <x:c r="F29" s="51" t="n">
        <x:v>118594.4189</x:v>
      </x:c>
      <x:c r="G29" s="51" t="n">
        <x:v>115273.7752</x:v>
      </x:c>
      <x:c r="H29" s="51" t="n">
        <x:v>120000</x:v>
      </x:c>
      <x:c r="I29" s="51" t="n">
        <x:v>60000</x:v>
      </x:c>
      <x:c r="J29" s="51" t="n">
        <x:v>300000</x:v>
      </x:c>
      <x:c r="K29" s="65" t="n">
        <x:f>IF(F29=0,0,G29/F29-1)</x:f>
        <x:v>-0.027999999753782645</x:v>
      </x:c>
      <x:c r="L29" s="65" t="n">
        <x:f>IF(G29=0,0,H29/G29-1)</x:f>
        <x:v>0.04100000014574001</x:v>
      </x:c>
      <x:c r="M29" s="65" t="n">
        <x:f>IF(H29=0,0,(J29-I29)/H29)</x:f>
        <x:v>2</x:v>
      </x:c>
      <x:c r="N29" s="60" t="n">
        <x:v>2</x:v>
      </x:c>
      <x:c r="O29" s="60" t="n">
        <x:v>2</x:v>
      </x:c>
      <x:c r="P29" s="60" t="n">
        <x:v>2</x:v>
      </x:c>
      <x:c r="Q29" s="60" t="n">
        <x:f>N29*20%+O29*30%+P29*50%</x:f>
        <x:v>2</x:v>
      </x:c>
      <x:c r="R29" s="12" t="str">
        <x:v>当前公开区间基准；2025按2026年6月PPI同比+4.1%回推，2024按2025上半年PPI-2.8%回推</x:v>
      </x:c>
      <x:c r="S29" s="12" t="str">
        <x:v>SRC-031, SRC-009, SRC-010, SRC-011</x:v>
      </x:c>
    </x:row>
    <x:row r="30">
      <x:c r="A30" t="str">
        <x:v>CAPEX-026</x:v>
      </x:c>
      <x:c r="B30" t="str">
        <x:v>CAPEX</x:v>
      </x:c>
      <x:c r="C30" t="str">
        <x:v>生产设备</x:v>
      </x:c>
      <x:c r="D30" t="str">
        <x:v>CD催化预混液避光配液系统</x:v>
      </x:c>
      <x:c r="E30" t="str">
        <x:v>套</x:v>
      </x:c>
      <x:c r="F30" s="51" t="n">
        <x:v>177891.6284</x:v>
      </x:c>
      <x:c r="G30" s="51" t="n">
        <x:v>172910.6628</x:v>
      </x:c>
      <x:c r="H30" s="51" t="n">
        <x:v>180000</x:v>
      </x:c>
      <x:c r="I30" s="51" t="n">
        <x:v>80000</x:v>
      </x:c>
      <x:c r="J30" s="51" t="n">
        <x:v>400000</x:v>
      </x:c>
      <x:c r="K30" s="65" t="n">
        <x:f>IF(F30=0,0,G30/F30-1)</x:f>
        <x:v>-0.028000000026982663</x:v>
      </x:c>
      <x:c r="L30" s="65" t="n">
        <x:f>IF(G30=0,0,H30/G30-1)</x:f>
        <x:v>0.04100000014574001</x:v>
      </x:c>
      <x:c r="M30" s="65" t="n">
        <x:f>IF(H30=0,0,(J30-I30)/H30)</x:f>
        <x:v>1.7777777777777777</x:v>
      </x:c>
      <x:c r="N30" s="60" t="n">
        <x:v>2</x:v>
      </x:c>
      <x:c r="O30" s="60" t="n">
        <x:v>2</x:v>
      </x:c>
      <x:c r="P30" s="60" t="n">
        <x:v>2</x:v>
      </x:c>
      <x:c r="Q30" s="60" t="n">
        <x:f>N30*20%+O30*30%+P30*50%</x:f>
        <x:v>2</x:v>
      </x:c>
      <x:c r="R30" s="12" t="str">
        <x:v>当前公开区间基准；2025按2026年6月PPI同比+4.1%回推，2024按2025上半年PPI-2.8%回推</x:v>
      </x:c>
      <x:c r="S30" s="12" t="str">
        <x:v>SRC-031, SRC-009, SRC-010, SRC-011</x:v>
      </x:c>
    </x:row>
    <x:row r="31">
      <x:c r="A31" t="str">
        <x:v>CAPEX-027</x:v>
      </x:c>
      <x:c r="B31" t="str">
        <x:v>CAPEX</x:v>
      </x:c>
      <x:c r="C31" t="str">
        <x:v>生产设备</x:v>
      </x:c>
      <x:c r="D31" t="str">
        <x:v>质粒对照品负压操作台</x:v>
      </x:c>
      <x:c r="E31" t="str">
        <x:v>台</x:v>
      </x:c>
      <x:c r="F31" s="51" t="n">
        <x:v>79062.946</x:v>
      </x:c>
      <x:c r="G31" s="51" t="n">
        <x:v>76849.1835</x:v>
      </x:c>
      <x:c r="H31" s="51" t="n">
        <x:v>80000</x:v>
      </x:c>
      <x:c r="I31" s="51" t="n">
        <x:v>50000</x:v>
      </x:c>
      <x:c r="J31" s="51" t="n">
        <x:v>180000</x:v>
      </x:c>
      <x:c r="K31" s="65" t="n">
        <x:f>IF(F31=0,0,G31/F31-1)</x:f>
        <x:v>-0.028000000151777726</x:v>
      </x:c>
      <x:c r="L31" s="65" t="n">
        <x:f>IF(G31=0,0,H31/G31-1)</x:f>
        <x:v>0.04099999969420631</x:v>
      </x:c>
      <x:c r="M31" s="65" t="n">
        <x:f>IF(H31=0,0,(J31-I31)/H31)</x:f>
        <x:v>1.625</x:v>
      </x:c>
      <x:c r="N31" s="60" t="n">
        <x:v>3</x:v>
      </x:c>
      <x:c r="O31" s="60" t="n">
        <x:v>4</x:v>
      </x:c>
      <x:c r="P31" s="60" t="n">
        <x:v>4</x:v>
      </x:c>
      <x:c r="Q31" s="60" t="n">
        <x:f>N31*20%+O31*30%+P31*50%</x:f>
        <x:v>3.8</x:v>
      </x:c>
      <x:c r="R31" s="12" t="str">
        <x:v>当前公开区间基准；2025按2026年6月PPI同比+4.1%回推，2024按2025上半年PPI-2.8%回推</x:v>
      </x:c>
      <x:c r="S31" s="12" t="str">
        <x:v>SRC-023, SRC-009, SRC-010, SRC-011</x:v>
      </x:c>
    </x:row>
    <x:row r="32">
      <x:c r="A32" t="str">
        <x:v>CAPEX-028</x:v>
      </x:c>
      <x:c r="B32" t="str">
        <x:v>CAPEX</x:v>
      </x:c>
      <x:c r="C32" t="str">
        <x:v>生产设备</x:v>
      </x:c>
      <x:c r="D32" t="str">
        <x:v>0.22um无菌过滤系统</x:v>
      </x:c>
      <x:c r="E32" t="str">
        <x:v>套</x:v>
      </x:c>
      <x:c r="F32" s="51" t="n">
        <x:v>29648.6047</x:v>
      </x:c>
      <x:c r="G32" s="51" t="n">
        <x:v>28818.4438</x:v>
      </x:c>
      <x:c r="H32" s="51" t="n">
        <x:v>30000</x:v>
      </x:c>
      <x:c r="I32" s="51" t="n">
        <x:v>12000</x:v>
      </x:c>
      <x:c r="J32" s="51" t="n">
        <x:v>80000</x:v>
      </x:c>
      <x:c r="K32" s="65" t="n">
        <x:f>IF(F32=0,0,G32/F32-1)</x:f>
        <x:v>-0.02799999893418248</x:v>
      </x:c>
      <x:c r="L32" s="65" t="n">
        <x:f>IF(G32=0,0,H32/G32-1)</x:f>
        <x:v>0.04100000014574001</x:v>
      </x:c>
      <x:c r="M32" s="65" t="n">
        <x:f>IF(H32=0,0,(J32-I32)/H32)</x:f>
        <x:v>2.2666666666666666</x:v>
      </x:c>
      <x:c r="N32" s="60" t="n">
        <x:v>3</x:v>
      </x:c>
      <x:c r="O32" s="60" t="n">
        <x:v>3</x:v>
      </x:c>
      <x:c r="P32" s="60" t="n">
        <x:v>3</x:v>
      </x:c>
      <x:c r="Q32" s="60" t="n">
        <x:f>N32*20%+O32*30%+P32*50%</x:f>
        <x:v>3</x:v>
      </x:c>
      <x:c r="R32" s="12" t="str">
        <x:v>当前公开区间基准；2025按2026年6月PPI同比+4.1%回推，2024按2025上半年PPI-2.8%回推</x:v>
      </x:c>
      <x:c r="S32" s="12" t="str">
        <x:v>SRC-031, SRC-009, SRC-010, SRC-011</x:v>
      </x:c>
    </x:row>
    <x:row r="33">
      <x:c r="A33" t="str">
        <x:v>CAPEX-029</x:v>
      </x:c>
      <x:c r="B33" t="str">
        <x:v>CAPEX</x:v>
      </x:c>
      <x:c r="C33" t="str">
        <x:v>生产设备</x:v>
      </x:c>
      <x:c r="D33" t="str">
        <x:v>三套独立自动分装旋盖设备</x:v>
      </x:c>
      <x:c r="E33" t="str">
        <x:v>套</x:v>
      </x:c>
      <x:c r="F33" s="51" t="n">
        <x:v>345900.3886</x:v>
      </x:c>
      <x:c r="G33" s="51" t="n">
        <x:v>336215.1777</x:v>
      </x:c>
      <x:c r="H33" s="51" t="n">
        <x:v>350000</x:v>
      </x:c>
      <x:c r="I33" s="51" t="n">
        <x:v>150000</x:v>
      </x:c>
      <x:c r="J33" s="51" t="n">
        <x:v>800000</x:v>
      </x:c>
      <x:c r="K33" s="65" t="n">
        <x:f>IF(F33=0,0,G33/F33-1)</x:f>
        <x:v>-0.02800000005550729</x:v>
      </x:c>
      <x:c r="L33" s="65" t="n">
        <x:f>IF(G33=0,0,H33/G33-1)</x:f>
        <x:v>0.04100000004253235</x:v>
      </x:c>
      <x:c r="M33" s="65" t="n">
        <x:f>IF(H33=0,0,(J33-I33)/H33)</x:f>
        <x:v>1.8571428571428572</x:v>
      </x:c>
      <x:c r="N33" s="60" t="n">
        <x:v>3</x:v>
      </x:c>
      <x:c r="O33" s="60" t="n">
        <x:v>3</x:v>
      </x:c>
      <x:c r="P33" s="60" t="n">
        <x:v>3</x:v>
      </x:c>
      <x:c r="Q33" s="60" t="n">
        <x:f>N33*20%+O33*30%+P33*50%</x:f>
        <x:v>3</x:v>
      </x:c>
      <x:c r="R33" s="12" t="str">
        <x:v>当前公开区间基准；2025按2026年6月PPI同比+4.1%回推，2024按2025上半年PPI-2.8%回推</x:v>
      </x:c>
      <x:c r="S33" s="12" t="str">
        <x:v>SRC-025, SRC-009, SRC-010, SRC-011</x:v>
      </x:c>
    </x:row>
    <x:row r="34">
      <x:c r="A34" t="str">
        <x:v>CAPEX-030</x:v>
      </x:c>
      <x:c r="B34" t="str">
        <x:v>CAPEX</x:v>
      </x:c>
      <x:c r="C34" t="str">
        <x:v>生产设备</x:v>
      </x:c>
      <x:c r="D34" t="str">
        <x:v>在线称重校验系统</x:v>
      </x:c>
      <x:c r="E34" t="str">
        <x:v>套</x:v>
      </x:c>
      <x:c r="F34" s="51" t="n">
        <x:v>118594.4189</x:v>
      </x:c>
      <x:c r="G34" s="51" t="n">
        <x:v>115273.7752</x:v>
      </x:c>
      <x:c r="H34" s="51" t="n">
        <x:v>120000</x:v>
      </x:c>
      <x:c r="I34" s="51" t="n">
        <x:v>50000</x:v>
      </x:c>
      <x:c r="J34" s="51" t="n">
        <x:v>260000</x:v>
      </x:c>
      <x:c r="K34" s="65" t="n">
        <x:f>IF(F34=0,0,G34/F34-1)</x:f>
        <x:v>-0.027999999753782645</x:v>
      </x:c>
      <x:c r="L34" s="65" t="n">
        <x:f>IF(G34=0,0,H34/G34-1)</x:f>
        <x:v>0.04100000014574001</x:v>
      </x:c>
      <x:c r="M34" s="65" t="n">
        <x:f>IF(H34=0,0,(J34-I34)/H34)</x:f>
        <x:v>1.75</x:v>
      </x:c>
      <x:c r="N34" s="60" t="n">
        <x:v>3</x:v>
      </x:c>
      <x:c r="O34" s="60" t="n">
        <x:v>3</x:v>
      </x:c>
      <x:c r="P34" s="60" t="n">
        <x:v>3</x:v>
      </x:c>
      <x:c r="Q34" s="60" t="n">
        <x:f>N34*20%+O34*30%+P34*50%</x:f>
        <x:v>3</x:v>
      </x:c>
      <x:c r="R34" s="12" t="str">
        <x:v>当前公开区间基准；2025按2026年6月PPI同比+4.1%回推，2024按2025上半年PPI-2.8%回推</x:v>
      </x:c>
      <x:c r="S34" s="12" t="str">
        <x:v>SRC-025, SRC-009, SRC-010, SRC-011</x:v>
      </x:c>
    </x:row>
    <x:row r="35">
      <x:c r="A35" t="str">
        <x:v>CAPEX-031</x:v>
      </x:c>
      <x:c r="B35" t="str">
        <x:v>CAPEX</x:v>
      </x:c>
      <x:c r="C35" t="str">
        <x:v>生产设备</x:v>
      </x:c>
      <x:c r="D35" t="str">
        <x:v>机器视觉漏液与旋盖检测</x:v>
      </x:c>
      <x:c r="E35" t="str">
        <x:v>套</x:v>
      </x:c>
      <x:c r="F35" s="51" t="n">
        <x:v>177891.6284</x:v>
      </x:c>
      <x:c r="G35" s="51" t="n">
        <x:v>172910.6628</x:v>
      </x:c>
      <x:c r="H35" s="51" t="n">
        <x:v>180000</x:v>
      </x:c>
      <x:c r="I35" s="51" t="n">
        <x:v>70000</x:v>
      </x:c>
      <x:c r="J35" s="51" t="n">
        <x:v>400000</x:v>
      </x:c>
      <x:c r="K35" s="65" t="n">
        <x:f>IF(F35=0,0,G35/F35-1)</x:f>
        <x:v>-0.028000000026982663</x:v>
      </x:c>
      <x:c r="L35" s="65" t="n">
        <x:f>IF(G35=0,0,H35/G35-1)</x:f>
        <x:v>0.04100000014574001</x:v>
      </x:c>
      <x:c r="M35" s="65" t="n">
        <x:f>IF(H35=0,0,(J35-I35)/H35)</x:f>
        <x:v>1.8333333333333333</x:v>
      </x:c>
      <x:c r="N35" s="60" t="n">
        <x:v>3</x:v>
      </x:c>
      <x:c r="O35" s="60" t="n">
        <x:v>3</x:v>
      </x:c>
      <x:c r="P35" s="60" t="n">
        <x:v>3</x:v>
      </x:c>
      <x:c r="Q35" s="60" t="n">
        <x:f>N35*20%+O35*30%+P35*50%</x:f>
        <x:v>3</x:v>
      </x:c>
      <x:c r="R35" s="12" t="str">
        <x:v>当前公开区间基准；2025按2026年6月PPI同比+4.1%回推，2024按2025上半年PPI-2.8%回推</x:v>
      </x:c>
      <x:c r="S35" s="12" t="str">
        <x:v>SRC-025, SRC-009, SRC-010, SRC-011</x:v>
      </x:c>
    </x:row>
    <x:row r="36">
      <x:c r="A36" t="str">
        <x:v>CAPEX-032</x:v>
      </x:c>
      <x:c r="B36" t="str">
        <x:v>CAPEX</x:v>
      </x:c>
      <x:c r="C36" t="str">
        <x:v>包装设备</x:v>
      </x:c>
      <x:c r="D36" t="str">
        <x:v>全自动喷码系统</x:v>
      </x:c>
      <x:c r="E36" t="str">
        <x:v>套</x:v>
      </x:c>
      <x:c r="F36" s="51" t="n">
        <x:v>59297.2095</x:v>
      </x:c>
      <x:c r="G36" s="51" t="n">
        <x:v>57636.8876</x:v>
      </x:c>
      <x:c r="H36" s="51" t="n">
        <x:v>60000</x:v>
      </x:c>
      <x:c r="I36" s="51" t="n">
        <x:v>25000</x:v>
      </x:c>
      <x:c r="J36" s="51" t="n">
        <x:v>150000</x:v>
      </x:c>
      <x:c r="K36" s="65" t="n">
        <x:f>IF(F36=0,0,G36/F36-1)</x:f>
        <x:v>-0.0280000005733827</x:v>
      </x:c>
      <x:c r="L36" s="65" t="n">
        <x:f>IF(G36=0,0,H36/G36-1)</x:f>
        <x:v>0.04100000014574001</x:v>
      </x:c>
      <x:c r="M36" s="65" t="n">
        <x:f>IF(H36=0,0,(J36-I36)/H36)</x:f>
        <x:v>2.0833333333333335</x:v>
      </x:c>
      <x:c r="N36" s="60" t="n">
        <x:v>3</x:v>
      </x:c>
      <x:c r="O36" s="60" t="n">
        <x:v>3</x:v>
      </x:c>
      <x:c r="P36" s="60" t="n">
        <x:v>3</x:v>
      </x:c>
      <x:c r="Q36" s="60" t="n">
        <x:f>N36*20%+O36*30%+P36*50%</x:f>
        <x:v>3</x:v>
      </x:c>
      <x:c r="R36" s="12" t="str">
        <x:v>当前公开区间基准；2025按2026年6月PPI同比+4.1%回推，2024按2025上半年PPI-2.8%回推</x:v>
      </x:c>
      <x:c r="S36" s="12" t="str">
        <x:v>SRC-028, SRC-009, SRC-010, SRC-011</x:v>
      </x:c>
    </x:row>
    <x:row r="37">
      <x:c r="A37" t="str">
        <x:v>CAPEX-033</x:v>
      </x:c>
      <x:c r="B37" t="str">
        <x:v>CAPEX</x:v>
      </x:c>
      <x:c r="C37" t="str">
        <x:v>包装设备</x:v>
      </x:c>
      <x:c r="D37" t="str">
        <x:v>自动贴标及防伪赋码</x:v>
      </x:c>
      <x:c r="E37" t="str">
        <x:v>套</x:v>
      </x:c>
      <x:c r="F37" s="51" t="n">
        <x:v>88945.8142</x:v>
      </x:c>
      <x:c r="G37" s="51" t="n">
        <x:v>86455.3314</x:v>
      </x:c>
      <x:c r="H37" s="51" t="n">
        <x:v>90000</x:v>
      </x:c>
      <x:c r="I37" s="51" t="n">
        <x:v>35000</x:v>
      </x:c>
      <x:c r="J37" s="51" t="n">
        <x:v>220000</x:v>
      </x:c>
      <x:c r="K37" s="65" t="n">
        <x:f>IF(F37=0,0,G37/F37-1)</x:f>
        <x:v>-0.028000000026982663</x:v>
      </x:c>
      <x:c r="L37" s="65" t="n">
        <x:f>IF(G37=0,0,H37/G37-1)</x:f>
        <x:v>0.04100000014574001</x:v>
      </x:c>
      <x:c r="M37" s="65" t="n">
        <x:f>IF(H37=0,0,(J37-I37)/H37)</x:f>
        <x:v>2.0555555555555554</x:v>
      </x:c>
      <x:c r="N37" s="60" t="n">
        <x:v>3</x:v>
      </x:c>
      <x:c r="O37" s="60" t="n">
        <x:v>3</x:v>
      </x:c>
      <x:c r="P37" s="60" t="n">
        <x:v>3</x:v>
      </x:c>
      <x:c r="Q37" s="60" t="n">
        <x:f>N37*20%+O37*30%+P37*50%</x:f>
        <x:v>3</x:v>
      </x:c>
      <x:c r="R37" s="12" t="str">
        <x:v>当前公开区间基准；2025按2026年6月PPI同比+4.1%回推，2024按2025上半年PPI-2.8%回推</x:v>
      </x:c>
      <x:c r="S37" s="12" t="str">
        <x:v>SRC-028, SRC-009, SRC-010, SRC-011</x:v>
      </x:c>
    </x:row>
    <x:row r="38">
      <x:c r="A38" t="str">
        <x:v>CAPEX-034</x:v>
      </x:c>
      <x:c r="B38" t="str">
        <x:v>CAPEX</x:v>
      </x:c>
      <x:c r="C38" t="str">
        <x:v>包装设备</x:v>
      </x:c>
      <x:c r="D38" t="str">
        <x:v>自动分料、装盒与封盒线</x:v>
      </x:c>
      <x:c r="E38" t="str">
        <x:v>套</x:v>
      </x:c>
      <x:c r="F38" s="51" t="n">
        <x:v>276720.3109</x:v>
      </x:c>
      <x:c r="G38" s="51" t="n">
        <x:v>268972.1422</x:v>
      </x:c>
      <x:c r="H38" s="51" t="n">
        <x:v>280000</x:v>
      </x:c>
      <x:c r="I38" s="51" t="n">
        <x:v>120000</x:v>
      </x:c>
      <x:c r="J38" s="51" t="n">
        <x:v>650000</x:v>
      </x:c>
      <x:c r="K38" s="65" t="n">
        <x:f>IF(F38=0,0,G38/F38-1)</x:f>
        <x:v>-0.02799999998120839</x:v>
      </x:c>
      <x:c r="L38" s="65" t="n">
        <x:f>IF(G38=0,0,H38/G38-1)</x:f>
        <x:v>0.04099999988772063</x:v>
      </x:c>
      <x:c r="M38" s="65" t="n">
        <x:f>IF(H38=0,0,(J38-I38)/H38)</x:f>
        <x:v>1.8928571428571428</x:v>
      </x:c>
      <x:c r="N38" s="60" t="n">
        <x:v>3</x:v>
      </x:c>
      <x:c r="O38" s="60" t="n">
        <x:v>3</x:v>
      </x:c>
      <x:c r="P38" s="60" t="n">
        <x:v>3</x:v>
      </x:c>
      <x:c r="Q38" s="60" t="n">
        <x:f>N38*20%+O38*30%+P38*50%</x:f>
        <x:v>3</x:v>
      </x:c>
      <x:c r="R38" s="12" t="str">
        <x:v>当前公开区间基准；2025按2026年6月PPI同比+4.1%回推，2024按2025上半年PPI-2.8%回推</x:v>
      </x:c>
      <x:c r="S38" s="12" t="str">
        <x:v>SRC-028, SRC-009, SRC-010, SRC-011</x:v>
      </x:c>
    </x:row>
    <x:row r="39">
      <x:c r="A39" t="str">
        <x:v>CAPEX-035</x:v>
      </x:c>
      <x:c r="B39" t="str">
        <x:v>CAPEX</x:v>
      </x:c>
      <x:c r="C39" t="str">
        <x:v>包装设备</x:v>
      </x:c>
      <x:c r="D39" t="str">
        <x:v>热缩膜包装机</x:v>
      </x:c>
      <x:c r="E39" t="str">
        <x:v>套</x:v>
      </x:c>
      <x:c r="F39" s="51" t="n">
        <x:v>49414.3413</x:v>
      </x:c>
      <x:c r="G39" s="51" t="n">
        <x:v>48030.7397</x:v>
      </x:c>
      <x:c r="H39" s="51" t="n">
        <x:v>50000</x:v>
      </x:c>
      <x:c r="I39" s="51" t="n">
        <x:v>18000</x:v>
      </x:c>
      <x:c r="J39" s="51" t="n">
        <x:v>120000</x:v>
      </x:c>
      <x:c r="K39" s="65" t="n">
        <x:f>IF(F39=0,0,G39/F39-1)</x:f>
        <x:v>-0.028000000882335008</x:v>
      </x:c>
      <x:c r="L39" s="65" t="n">
        <x:f>IF(G39=0,0,H39/G39-1)</x:f>
        <x:v>0.04099999942328614</x:v>
      </x:c>
      <x:c r="M39" s="65" t="n">
        <x:f>IF(H39=0,0,(J39-I39)/H39)</x:f>
        <x:v>2.04</x:v>
      </x:c>
      <x:c r="N39" s="60" t="n">
        <x:v>3</x:v>
      </x:c>
      <x:c r="O39" s="60" t="n">
        <x:v>3</x:v>
      </x:c>
      <x:c r="P39" s="60" t="n">
        <x:v>3</x:v>
      </x:c>
      <x:c r="Q39" s="60" t="n">
        <x:f>N39*20%+O39*30%+P39*50%</x:f>
        <x:v>3</x:v>
      </x:c>
      <x:c r="R39" s="12" t="str">
        <x:v>当前公开区间基准；2025按2026年6月PPI同比+4.1%回推，2024按2025上半年PPI-2.8%回推</x:v>
      </x:c>
      <x:c r="S39" s="12" t="str">
        <x:v>SRC-028, SRC-009, SRC-010, SRC-011</x:v>
      </x:c>
    </x:row>
    <x:row r="40">
      <x:c r="A40" t="str">
        <x:v>CAPEX-036</x:v>
      </x:c>
      <x:c r="B40" t="str">
        <x:v>CAPEX</x:v>
      </x:c>
      <x:c r="C40" t="str">
        <x:v>QC设备</x:v>
      </x:c>
      <x:c r="D40" t="str">
        <x:v>荧光定量PCR仪</x:v>
      </x:c>
      <x:c r="E40" t="str">
        <x:v>台</x:v>
      </x:c>
      <x:c r="F40" s="51" t="n">
        <x:v>306000</x:v>
      </x:c>
      <x:c r="G40" s="51" t="n">
        <x:v>300000</x:v>
      </x:c>
      <x:c r="H40" s="51" t="n">
        <x:v>300000</x:v>
      </x:c>
      <x:c r="I40" s="51" t="n">
        <x:v>250000</x:v>
      </x:c>
      <x:c r="J40" s="51" t="n">
        <x:v>350000</x:v>
      </x:c>
      <x:c r="K40" s="65" t="n">
        <x:f>IF(F40=0,0,G40/F40-1)</x:f>
        <x:v>-0.019607843137254943</x:v>
      </x:c>
      <x:c r="L40" s="65" t="n">
        <x:f>IF(G40=0,0,H40/G40-1)</x:f>
        <x:v>0</x:v>
      </x:c>
      <x:c r="M40" s="65" t="n">
        <x:f>IF(H40=0,0,(J40-I40)/H40)</x:f>
        <x:v>0.3333333333333333</x:v>
      </x:c>
      <x:c r="N40" s="60" t="n">
        <x:v>3</x:v>
      </x:c>
      <x:c r="O40" s="60" t="n">
        <x:v>7</x:v>
      </x:c>
      <x:c r="P40" s="60" t="n">
        <x:v>7</x:v>
      </x:c>
      <x:c r="Q40" s="60" t="n">
        <x:f>N40*20%+O40*30%+P40*50%</x:f>
        <x:v>6.2</x:v>
      </x:c>
      <x:c r="R40" s="12" t="str">
        <x:v>2025 CFX Duet成交区间；2024按PPI回推</x:v>
      </x:c>
      <x:c r="S40" s="12" t="str">
        <x:v>SRC-019</x:v>
      </x:c>
    </x:row>
    <x:row r="41">
      <x:c r="A41" t="str">
        <x:v>CAPEX-037</x:v>
      </x:c>
      <x:c r="B41" t="str">
        <x:v>CAPEX</x:v>
      </x:c>
      <x:c r="C41" t="str">
        <x:v>QC设备</x:v>
      </x:c>
      <x:c r="D41" t="str">
        <x:v>恒温双通道酶标仪</x:v>
      </x:c>
      <x:c r="E41" t="str">
        <x:v>台</x:v>
      </x:c>
      <x:c r="F41" s="51" t="n">
        <x:v>357000</x:v>
      </x:c>
      <x:c r="G41" s="51" t="n">
        <x:v>350000</x:v>
      </x:c>
      <x:c r="H41" s="51" t="n">
        <x:v>350000</x:v>
      </x:c>
      <x:c r="I41" s="51" t="n">
        <x:v>300000</x:v>
      </x:c>
      <x:c r="J41" s="51" t="n">
        <x:v>400000</x:v>
      </x:c>
      <x:c r="K41" s="65" t="n">
        <x:f>IF(F41=0,0,G41/F41-1)</x:f>
        <x:v>-0.019607843137254943</x:v>
      </x:c>
      <x:c r="L41" s="65" t="n">
        <x:f>IF(G41=0,0,H41/G41-1)</x:f>
        <x:v>0</x:v>
      </x:c>
      <x:c r="M41" s="65" t="n">
        <x:f>IF(H41=0,0,(J41-I41)/H41)</x:f>
        <x:v>0.2857142857142857</x:v>
      </x:c>
      <x:c r="N41" s="60" t="n">
        <x:v>7</x:v>
      </x:c>
      <x:c r="O41" s="60" t="n">
        <x:v>7</x:v>
      </x:c>
      <x:c r="P41" s="60" t="n">
        <x:v>7</x:v>
      </x:c>
      <x:c r="Q41" s="60" t="n">
        <x:f>N41*20%+O41*30%+P41*50%</x:f>
        <x:v>7</x:v>
      </x:c>
      <x:c r="R41" s="12" t="str">
        <x:v>Synergy H1成交区间；2024公开预算80万元用于高配上限交叉验证</x:v>
      </x:c>
      <x:c r="S41" s="12" t="str">
        <x:v>SRC-020</x:v>
      </x:c>
    </x:row>
    <x:row r="42">
      <x:c r="A42" t="str">
        <x:v>CAPEX-038</x:v>
      </x:c>
      <x:c r="B42" t="str">
        <x:v>CAPEX</x:v>
      </x:c>
      <x:c r="C42" t="str">
        <x:v>QC设备</x:v>
      </x:c>
      <x:c r="D42" t="str">
        <x:v>微量紫外分光光度计</x:v>
      </x:c>
      <x:c r="E42" t="str">
        <x:v>台</x:v>
      </x:c>
      <x:c r="F42" s="51" t="n">
        <x:v>38300</x:v>
      </x:c>
      <x:c r="G42" s="51" t="n">
        <x:v>37500</x:v>
      </x:c>
      <x:c r="H42" s="51" t="n">
        <x:v>38000</x:v>
      </x:c>
      <x:c r="I42" s="51" t="n">
        <x:v>30000</x:v>
      </x:c>
      <x:c r="J42" s="51" t="n">
        <x:v>45000</x:v>
      </x:c>
      <x:c r="K42" s="65" t="n">
        <x:f>IF(F42=0,0,G42/F42-1)</x:f>
        <x:v>-0.02088772845953002</x:v>
      </x:c>
      <x:c r="L42" s="65" t="n">
        <x:f>IF(G42=0,0,H42/G42-1)</x:f>
        <x:v>0.01333333333333342</x:v>
      </x:c>
      <x:c r="M42" s="65" t="n">
        <x:f>IF(H42=0,0,(J42-I42)/H42)</x:f>
        <x:v>0.39473684210526316</x:v>
      </x:c>
      <x:c r="N42" s="60" t="n">
        <x:v>3</x:v>
      </x:c>
      <x:c r="O42" s="60" t="n">
        <x:v>5</x:v>
      </x:c>
      <x:c r="P42" s="60" t="n">
        <x:v>5</x:v>
      </x:c>
      <x:c r="Q42" s="60" t="n">
        <x:f>N42*20%+O42*30%+P42*50%</x:f>
        <x:v>4.6</x:v>
      </x:c>
      <x:c r="R42" s="12" t="str">
        <x:v>2025 Nano-500市场区间；2024按PPI回推</x:v>
      </x:c>
      <x:c r="S42" s="12" t="str">
        <x:v>SRC-021</x:v>
      </x:c>
    </x:row>
    <x:row r="43">
      <x:c r="A43" t="str">
        <x:v>CAPEX-039</x:v>
      </x:c>
      <x:c r="B43" t="str">
        <x:v>CAPEX</x:v>
      </x:c>
      <x:c r="C43" t="str">
        <x:v>QC设备</x:v>
      </x:c>
      <x:c r="D43" t="str">
        <x:v>HPLC系统（可选自建）</x:v>
      </x:c>
      <x:c r="E43" t="str">
        <x:v>台</x:v>
      </x:c>
      <x:c r="F43" s="51" t="n">
        <x:v>490000</x:v>
      </x:c>
      <x:c r="G43" s="51" t="n">
        <x:v>480000</x:v>
      </x:c>
      <x:c r="H43" s="51" t="n">
        <x:v>490000</x:v>
      </x:c>
      <x:c r="I43" s="51" t="n">
        <x:v>470000</x:v>
      </x:c>
      <x:c r="J43" s="51" t="n">
        <x:v>900000</x:v>
      </x:c>
      <x:c r="K43" s="65" t="n">
        <x:f>IF(F43=0,0,G43/F43-1)</x:f>
        <x:v>-0.020408163265306145</x:v>
      </x:c>
      <x:c r="L43" s="65" t="n">
        <x:f>IF(G43=0,0,H43/G43-1)</x:f>
        <x:v>0.02083333333333326</x:v>
      </x:c>
      <x:c r="M43" s="65" t="n">
        <x:f>IF(H43=0,0,(J43-I43)/H43)</x:f>
        <x:v>0.8775510204081632</x:v>
      </x:c>
      <x:c r="N43" s="60" t="n">
        <x:v>3</x:v>
      </x:c>
      <x:c r="O43" s="60" t="n">
        <x:v>7</x:v>
      </x:c>
      <x:c r="P43" s="60" t="n">
        <x:v>7</x:v>
      </x:c>
      <x:c r="Q43" s="60" t="n">
        <x:f>N43*20%+O43*30%+P43*50%</x:f>
        <x:v>6.2</x:v>
      </x:c>
      <x:c r="R43" s="12" t="str">
        <x:v>2025采购预算/限价；2024按PPI回推</x:v>
      </x:c>
      <x:c r="S43" s="12" t="str">
        <x:v>SRC-022</x:v>
      </x:c>
    </x:row>
    <x:row r="44">
      <x:c r="A44" t="str">
        <x:v>CAPEX-040</x:v>
      </x:c>
      <x:c r="B44" t="str">
        <x:v>CAPEX</x:v>
      </x:c>
      <x:c r="C44" t="str">
        <x:v>QC设备</x:v>
      </x:c>
      <x:c r="D44" t="str">
        <x:v>核酸电泳与成像系统</x:v>
      </x:c>
      <x:c r="E44" t="str">
        <x:v>套</x:v>
      </x:c>
      <x:c r="F44" s="51" t="n">
        <x:v>79062.946</x:v>
      </x:c>
      <x:c r="G44" s="51" t="n">
        <x:v>76849.1835</x:v>
      </x:c>
      <x:c r="H44" s="51" t="n">
        <x:v>80000</x:v>
      </x:c>
      <x:c r="I44" s="51" t="n">
        <x:v>40000</x:v>
      </x:c>
      <x:c r="J44" s="51" t="n">
        <x:v>180000</x:v>
      </x:c>
      <x:c r="K44" s="65" t="n">
        <x:f>IF(F44=0,0,G44/F44-1)</x:f>
        <x:v>-0.028000000151777726</x:v>
      </x:c>
      <x:c r="L44" s="65" t="n">
        <x:f>IF(G44=0,0,H44/G44-1)</x:f>
        <x:v>0.04099999969420631</x:v>
      </x:c>
      <x:c r="M44" s="65" t="n">
        <x:f>IF(H44=0,0,(J44-I44)/H44)</x:f>
        <x:v>1.75</x:v>
      </x:c>
      <x:c r="N44" s="60" t="n">
        <x:v>3</x:v>
      </x:c>
      <x:c r="O44" s="60" t="n">
        <x:v>4</x:v>
      </x:c>
      <x:c r="P44" s="60" t="n">
        <x:v>4</x:v>
      </x:c>
      <x:c r="Q44" s="60" t="n">
        <x:f>N44*20%+O44*30%+P44*50%</x:f>
        <x:v>3.8</x:v>
      </x:c>
      <x:c r="R44" s="12" t="str">
        <x:v>当前公开区间基准；2025按2026年6月PPI同比+4.1%回推，2024按2025上半年PPI-2.8%回推</x:v>
      </x:c>
      <x:c r="S44" s="12" t="str">
        <x:v>SRC-031, SRC-009, SRC-010, SRC-011</x:v>
      </x:c>
    </x:row>
    <x:row r="45">
      <x:c r="A45" t="str">
        <x:v>CAPEX-041</x:v>
      </x:c>
      <x:c r="B45" t="str">
        <x:v>CAPEX</x:v>
      </x:c>
      <x:c r="C45" t="str">
        <x:v>通用设备</x:v>
      </x:c>
      <x:c r="D45" t="str">
        <x:v>实验室冰箱与-20C冰柜</x:v>
      </x:c>
      <x:c r="E45" t="str">
        <x:v>台</x:v>
      </x:c>
      <x:c r="F45" s="51" t="n">
        <x:v>24707.1706</x:v>
      </x:c>
      <x:c r="G45" s="51" t="n">
        <x:v>24015.3698</x:v>
      </x:c>
      <x:c r="H45" s="51" t="n">
        <x:v>25000</x:v>
      </x:c>
      <x:c r="I45" s="51" t="n">
        <x:v>12000</x:v>
      </x:c>
      <x:c r="J45" s="51" t="n">
        <x:v>60000</x:v>
      </x:c>
      <x:c r="K45" s="65" t="n">
        <x:f>IF(F45=0,0,G45/F45-1)</x:f>
        <x:v>-0.02800000093899868</x:v>
      </x:c>
      <x:c r="L45" s="65" t="n">
        <x:f>IF(G45=0,0,H45/G45-1)</x:f>
        <x:v>0.04100000159064798</x:v>
      </x:c>
      <x:c r="M45" s="65" t="n">
        <x:f>IF(H45=0,0,(J45-I45)/H45)</x:f>
        <x:v>1.92</x:v>
      </x:c>
      <x:c r="N45" s="60" t="n">
        <x:v>3</x:v>
      </x:c>
      <x:c r="O45" s="60" t="n">
        <x:v>3</x:v>
      </x:c>
      <x:c r="P45" s="60" t="n">
        <x:v>3</x:v>
      </x:c>
      <x:c r="Q45" s="60" t="n">
        <x:f>N45*20%+O45*30%+P45*50%</x:f>
        <x:v>3</x:v>
      </x:c>
      <x:c r="R45" s="12" t="str">
        <x:v>当前公开区间基准；2025按2026年6月PPI同比+4.1%回推，2024按2025上半年PPI-2.8%回推</x:v>
      </x:c>
      <x:c r="S45" s="12" t="str">
        <x:v>SRC-028, SRC-009, SRC-010, SRC-011</x:v>
      </x:c>
    </x:row>
    <x:row r="46">
      <x:c r="A46" t="str">
        <x:v>CAPEX-042</x:v>
      </x:c>
      <x:c r="B46" t="str">
        <x:v>CAPEX</x:v>
      </x:c>
      <x:c r="C46" t="str">
        <x:v>通用设备</x:v>
      </x:c>
      <x:c r="D46" t="str">
        <x:v>分析天平与微量天平</x:v>
      </x:c>
      <x:c r="E46" t="str">
        <x:v>套</x:v>
      </x:c>
      <x:c r="F46" s="51" t="n">
        <x:v>29648.6047</x:v>
      </x:c>
      <x:c r="G46" s="51" t="n">
        <x:v>28818.4438</x:v>
      </x:c>
      <x:c r="H46" s="51" t="n">
        <x:v>30000</x:v>
      </x:c>
      <x:c r="I46" s="51" t="n">
        <x:v>15000</x:v>
      </x:c>
      <x:c r="J46" s="51" t="n">
        <x:v>80000</x:v>
      </x:c>
      <x:c r="K46" s="65" t="n">
        <x:f>IF(F46=0,0,G46/F46-1)</x:f>
        <x:v>-0.02799999893418248</x:v>
      </x:c>
      <x:c r="L46" s="65" t="n">
        <x:f>IF(G46=0,0,H46/G46-1)</x:f>
        <x:v>0.04100000014574001</x:v>
      </x:c>
      <x:c r="M46" s="65" t="n">
        <x:f>IF(H46=0,0,(J46-I46)/H46)</x:f>
        <x:v>2.1666666666666665</x:v>
      </x:c>
      <x:c r="N46" s="60" t="n">
        <x:v>3</x:v>
      </x:c>
      <x:c r="O46" s="60" t="n">
        <x:v>3</x:v>
      </x:c>
      <x:c r="P46" s="60" t="n">
        <x:v>3</x:v>
      </x:c>
      <x:c r="Q46" s="60" t="n">
        <x:f>N46*20%+O46*30%+P46*50%</x:f>
        <x:v>3</x:v>
      </x:c>
      <x:c r="R46" s="12" t="str">
        <x:v>当前公开区间基准；2025按2026年6月PPI同比+4.1%回推，2024按2025上半年PPI-2.8%回推</x:v>
      </x:c>
      <x:c r="S46" s="12" t="str">
        <x:v>SRC-028, SRC-009, SRC-010, SRC-011</x:v>
      </x:c>
    </x:row>
    <x:row r="47">
      <x:c r="A47" t="str">
        <x:v>CAPEX-043</x:v>
      </x:c>
      <x:c r="B47" t="str">
        <x:v>CAPEX</x:v>
      </x:c>
      <x:c r="C47" t="str">
        <x:v>通用设备</x:v>
      </x:c>
      <x:c r="D47" t="str">
        <x:v>高压蒸汽灭菌器</x:v>
      </x:c>
      <x:c r="E47" t="str">
        <x:v>台</x:v>
      </x:c>
      <x:c r="F47" s="51" t="n">
        <x:v>98828.6824</x:v>
      </x:c>
      <x:c r="G47" s="51" t="n">
        <x:v>96061.4793</x:v>
      </x:c>
      <x:c r="H47" s="51" t="n">
        <x:v>100000</x:v>
      </x:c>
      <x:c r="I47" s="51" t="n">
        <x:v>50000</x:v>
      </x:c>
      <x:c r="J47" s="51" t="n">
        <x:v>250000</x:v>
      </x:c>
      <x:c r="K47" s="65" t="n">
        <x:f>IF(F47=0,0,G47/F47-1)</x:f>
        <x:v>-0.027999999927146635</x:v>
      </x:c>
      <x:c r="L47" s="65" t="n">
        <x:f>IF(G47=0,0,H47/G47-1)</x:f>
        <x:v>0.04100000050696684</x:v>
      </x:c>
      <x:c r="M47" s="65" t="n">
        <x:f>IF(H47=0,0,(J47-I47)/H47)</x:f>
        <x:v>2</x:v>
      </x:c>
      <x:c r="N47" s="60" t="n">
        <x:v>3</x:v>
      </x:c>
      <x:c r="O47" s="60" t="n">
        <x:v>4</x:v>
      </x:c>
      <x:c r="P47" s="60" t="n">
        <x:v>4</x:v>
      </x:c>
      <x:c r="Q47" s="60" t="n">
        <x:f>N47*20%+O47*30%+P47*50%</x:f>
        <x:v>3.8</x:v>
      </x:c>
      <x:c r="R47" s="12" t="str">
        <x:v>当前公开区间基准；2025按2026年6月PPI同比+4.1%回推，2024按2025上半年PPI-2.8%回推</x:v>
      </x:c>
      <x:c r="S47" s="12" t="str">
        <x:v>SRC-031, SRC-009, SRC-010, SRC-011</x:v>
      </x:c>
    </x:row>
    <x:row r="48">
      <x:c r="A48" t="str">
        <x:v>CAPEX-044</x:v>
      </x:c>
      <x:c r="B48" t="str">
        <x:v>CAPEX</x:v>
      </x:c>
      <x:c r="C48" t="str">
        <x:v>通用设备</x:v>
      </x:c>
      <x:c r="D48" t="str">
        <x:v>II级生物安全柜</x:v>
      </x:c>
      <x:c r="E48" t="str">
        <x:v>台</x:v>
      </x:c>
      <x:c r="F48" s="51" t="n">
        <x:v>67500</x:v>
      </x:c>
      <x:c r="G48" s="51" t="n">
        <x:v>66000</x:v>
      </x:c>
      <x:c r="H48" s="51" t="n">
        <x:v>68000</x:v>
      </x:c>
      <x:c r="I48" s="51" t="n">
        <x:v>55000</x:v>
      </x:c>
      <x:c r="J48" s="51" t="n">
        <x:v>140000</x:v>
      </x:c>
      <x:c r="K48" s="65" t="n">
        <x:f>IF(F48=0,0,G48/F48-1)</x:f>
        <x:v>-0.022222222222222254</x:v>
      </x:c>
      <x:c r="L48" s="65" t="n">
        <x:f>IF(G48=0,0,H48/G48-1)</x:f>
        <x:v>0.030303030303030276</x:v>
      </x:c>
      <x:c r="M48" s="65" t="n">
        <x:f>IF(H48=0,0,(J48-I48)/H48)</x:f>
        <x:v>1.25</x:v>
      </x:c>
      <x:c r="N48" s="60" t="n">
        <x:v>3</x:v>
      </x:c>
      <x:c r="O48" s="60" t="n">
        <x:v>4</x:v>
      </x:c>
      <x:c r="P48" s="60" t="n">
        <x:v>6</x:v>
      </x:c>
      <x:c r="Q48" s="60" t="n">
        <x:f>N48*20%+O48*30%+P48*50%</x:f>
        <x:v>4.8</x:v>
      </x:c>
      <x:c r="R48" s="12" t="str">
        <x:v>当前公开价结合PPI回推</x:v>
      </x:c>
      <x:c r="S48" s="12" t="str">
        <x:v>SRC-023</x:v>
      </x:c>
    </x:row>
    <x:row r="49">
      <x:c r="A49" t="str">
        <x:v>CAPEX-045</x:v>
      </x:c>
      <x:c r="B49" t="str">
        <x:v>CAPEX</x:v>
      </x:c>
      <x:c r="C49" t="str">
        <x:v>通用设备</x:v>
      </x:c>
      <x:c r="D49" t="str">
        <x:v>超净工作台</x:v>
      </x:c>
      <x:c r="E49" t="str">
        <x:v>台</x:v>
      </x:c>
      <x:c r="F49" s="51" t="n">
        <x:v>19765.7365</x:v>
      </x:c>
      <x:c r="G49" s="51" t="n">
        <x:v>19212.2959</x:v>
      </x:c>
      <x:c r="H49" s="51" t="n">
        <x:v>20000</x:v>
      </x:c>
      <x:c r="I49" s="51" t="n">
        <x:v>10000</x:v>
      </x:c>
      <x:c r="J49" s="51" t="n">
        <x:v>50000</x:v>
      </x:c>
      <x:c r="K49" s="65" t="n">
        <x:f>IF(F49=0,0,G49/F49-1)</x:f>
        <x:v>-0.027999998886962696</x:v>
      </x:c>
      <x:c r="L49" s="65" t="n">
        <x:f>IF(G49=0,0,H49/G49-1)</x:f>
        <x:v>0.04099999833960499</x:v>
      </x:c>
      <x:c r="M49" s="65" t="n">
        <x:f>IF(H49=0,0,(J49-I49)/H49)</x:f>
        <x:v>2</x:v>
      </x:c>
      <x:c r="N49" s="60" t="n">
        <x:v>3</x:v>
      </x:c>
      <x:c r="O49" s="60" t="n">
        <x:v>3</x:v>
      </x:c>
      <x:c r="P49" s="60" t="n">
        <x:v>3</x:v>
      </x:c>
      <x:c r="Q49" s="60" t="n">
        <x:f>N49*20%+O49*30%+P49*50%</x:f>
        <x:v>3</x:v>
      </x:c>
      <x:c r="R49" s="12" t="str">
        <x:v>当前公开区间基准；2025按2026年6月PPI同比+4.1%回推，2024按2025上半年PPI-2.8%回推</x:v>
      </x:c>
      <x:c r="S49" s="12" t="str">
        <x:v>SRC-028, SRC-009, SRC-010, SRC-011</x:v>
      </x:c>
    </x:row>
    <x:row r="50">
      <x:c r="A50" t="str">
        <x:v>CAPEX-046</x:v>
      </x:c>
      <x:c r="B50" t="str">
        <x:v>CAPEX</x:v>
      </x:c>
      <x:c r="C50" t="str">
        <x:v>通用设备</x:v>
      </x:c>
      <x:c r="D50" t="str">
        <x:v>离心、混匀、恒温与移液设备包</x:v>
      </x:c>
      <x:c r="E50" t="str">
        <x:v>套</x:v>
      </x:c>
      <x:c r="F50" s="51" t="n">
        <x:v>79062.946</x:v>
      </x:c>
      <x:c r="G50" s="51" t="n">
        <x:v>76849.1835</x:v>
      </x:c>
      <x:c r="H50" s="51" t="n">
        <x:v>80000</x:v>
      </x:c>
      <x:c r="I50" s="51" t="n">
        <x:v>40000</x:v>
      </x:c>
      <x:c r="J50" s="51" t="n">
        <x:v>180000</x:v>
      </x:c>
      <x:c r="K50" s="65" t="n">
        <x:f>IF(F50=0,0,G50/F50-1)</x:f>
        <x:v>-0.028000000151777726</x:v>
      </x:c>
      <x:c r="L50" s="65" t="n">
        <x:f>IF(G50=0,0,H50/G50-1)</x:f>
        <x:v>0.04099999969420631</x:v>
      </x:c>
      <x:c r="M50" s="65" t="n">
        <x:f>IF(H50=0,0,(J50-I50)/H50)</x:f>
        <x:v>1.75</x:v>
      </x:c>
      <x:c r="N50" s="60" t="n">
        <x:v>3</x:v>
      </x:c>
      <x:c r="O50" s="60" t="n">
        <x:v>3</x:v>
      </x:c>
      <x:c r="P50" s="60" t="n">
        <x:v>3</x:v>
      </x:c>
      <x:c r="Q50" s="60" t="n">
        <x:f>N50*20%+O50*30%+P50*50%</x:f>
        <x:v>3</x:v>
      </x:c>
      <x:c r="R50" s="12" t="str">
        <x:v>当前公开区间基准；2025按2026年6月PPI同比+4.1%回推，2024按2025上半年PPI-2.8%回推</x:v>
      </x:c>
      <x:c r="S50" s="12" t="str">
        <x:v>SRC-028, SRC-009, SRC-010, SRC-011</x:v>
      </x:c>
    </x:row>
    <x:row r="51">
      <x:c r="A51" t="str">
        <x:v>CAPEX-047</x:v>
      </x:c>
      <x:c r="B51" t="str">
        <x:v>CAPEX</x:v>
      </x:c>
      <x:c r="C51" t="str">
        <x:v>QC设备</x:v>
      </x:c>
      <x:c r="D51" t="str">
        <x:v>粒子、浮游菌与温湿度监测设备</x:v>
      </x:c>
      <x:c r="E51" t="str">
        <x:v>套</x:v>
      </x:c>
      <x:c r="F51" s="51" t="n">
        <x:v>118594.4189</x:v>
      </x:c>
      <x:c r="G51" s="51" t="n">
        <x:v>115273.7752</x:v>
      </x:c>
      <x:c r="H51" s="51" t="n">
        <x:v>120000</x:v>
      </x:c>
      <x:c r="I51" s="51" t="n">
        <x:v>60000</x:v>
      </x:c>
      <x:c r="J51" s="51" t="n">
        <x:v>300000</x:v>
      </x:c>
      <x:c r="K51" s="65" t="n">
        <x:f>IF(F51=0,0,G51/F51-1)</x:f>
        <x:v>-0.027999999753782645</x:v>
      </x:c>
      <x:c r="L51" s="65" t="n">
        <x:f>IF(G51=0,0,H51/G51-1)</x:f>
        <x:v>0.04100000014574001</x:v>
      </x:c>
      <x:c r="M51" s="65" t="n">
        <x:f>IF(H51=0,0,(J51-I51)/H51)</x:f>
        <x:v>2</x:v>
      </x:c>
      <x:c r="N51" s="60" t="n">
        <x:v>3</x:v>
      </x:c>
      <x:c r="O51" s="60" t="n">
        <x:v>3</x:v>
      </x:c>
      <x:c r="P51" s="60" t="n">
        <x:v>3</x:v>
      </x:c>
      <x:c r="Q51" s="60" t="n">
        <x:f>N51*20%+O51*30%+P51*50%</x:f>
        <x:v>3</x:v>
      </x:c>
      <x:c r="R51" s="12" t="str">
        <x:v>当前公开区间基准；2025按2026年6月PPI同比+4.1%回推，2024按2025上半年PPI-2.8%回推</x:v>
      </x:c>
      <x:c r="S51" s="12" t="str">
        <x:v>SRC-031, SRC-009, SRC-010, SRC-011</x:v>
      </x:c>
    </x:row>
    <x:row r="52">
      <x:c r="A52" t="str">
        <x:v>CAPEX-048</x:v>
      </x:c>
      <x:c r="B52" t="str">
        <x:v>CAPEX</x:v>
      </x:c>
      <x:c r="C52" t="str">
        <x:v>信息化</x:v>
      </x:c>
      <x:c r="D52" t="str">
        <x:v>MES、批记录与质量数据系统</x:v>
      </x:c>
      <x:c r="E52" t="str">
        <x:v>套</x:v>
      </x:c>
      <x:c r="F52" s="51" t="n">
        <x:v>592972.0948</x:v>
      </x:c>
      <x:c r="G52" s="51" t="n">
        <x:v>576368.8761</x:v>
      </x:c>
      <x:c r="H52" s="51" t="n">
        <x:v>600000</x:v>
      </x:c>
      <x:c r="I52" s="51" t="n">
        <x:v>300000</x:v>
      </x:c>
      <x:c r="J52" s="51" t="n">
        <x:v>1500000</x:v>
      </x:c>
      <x:c r="K52" s="65" t="n">
        <x:f>IF(F52=0,0,G52/F52-1)</x:f>
        <x:v>-0.028000000076900733</x:v>
      </x:c>
      <x:c r="L52" s="65" t="n">
        <x:f>IF(G52=0,0,H52/G52-1)</x:f>
        <x:v>0.04099999996512649</x:v>
      </x:c>
      <x:c r="M52" s="65" t="n">
        <x:f>IF(H52=0,0,(J52-I52)/H52)</x:f>
        <x:v>2</x:v>
      </x:c>
      <x:c r="N52" s="60" t="n">
        <x:v>2</x:v>
      </x:c>
      <x:c r="O52" s="60" t="n">
        <x:v>2</x:v>
      </x:c>
      <x:c r="P52" s="60" t="n">
        <x:v>2</x:v>
      </x:c>
      <x:c r="Q52" s="60" t="n">
        <x:f>N52*20%+O52*30%+P52*50%</x:f>
        <x:v>2</x:v>
      </x:c>
      <x:c r="R52" s="12" t="str">
        <x:v>当前公开区间基准；2025按2026年6月PPI同比+4.1%回推，2024按2025上半年PPI-2.8%回推</x:v>
      </x:c>
      <x:c r="S52" s="12" t="str">
        <x:v>SRC-031, SRC-009, SRC-010, SRC-011</x:v>
      </x:c>
    </x:row>
    <x:row r="53">
      <x:c r="A53" t="str">
        <x:v>CAPEX-049</x:v>
      </x:c>
      <x:c r="B53" t="str">
        <x:v>CAPEX</x:v>
      </x:c>
      <x:c r="C53" t="str">
        <x:v>信息化</x:v>
      </x:c>
      <x:c r="D53" t="str">
        <x:v>服务器、条码、打印及终端</x:v>
      </x:c>
      <x:c r="E53" t="str">
        <x:v>套</x:v>
      </x:c>
      <x:c r="F53" s="51" t="n">
        <x:v>148243.0237</x:v>
      </x:c>
      <x:c r="G53" s="51" t="n">
        <x:v>144092.219</x:v>
      </x:c>
      <x:c r="H53" s="51" t="n">
        <x:v>150000</x:v>
      </x:c>
      <x:c r="I53" s="51" t="n">
        <x:v>80000</x:v>
      </x:c>
      <x:c r="J53" s="51" t="n">
        <x:v>350000</x:v>
      </x:c>
      <x:c r="K53" s="65" t="n">
        <x:f>IF(F53=0,0,G53/F53-1)</x:f>
        <x:v>-0.02800000024554261</x:v>
      </x:c>
      <x:c r="L53" s="65" t="n">
        <x:f>IF(G53=0,0,H53/G53-1)</x:f>
        <x:v>0.04100000014574001</x:v>
      </x:c>
      <x:c r="M53" s="65" t="n">
        <x:f>IF(H53=0,0,(J53-I53)/H53)</x:f>
        <x:v>1.8</x:v>
      </x:c>
      <x:c r="N53" s="60" t="n">
        <x:v>3</x:v>
      </x:c>
      <x:c r="O53" s="60" t="n">
        <x:v>3</x:v>
      </x:c>
      <x:c r="P53" s="60" t="n">
        <x:v>3</x:v>
      </x:c>
      <x:c r="Q53" s="60" t="n">
        <x:f>N53*20%+O53*30%+P53*50%</x:f>
        <x:v>3</x:v>
      </x:c>
      <x:c r="R53" s="12" t="str">
        <x:v>当前公开区间基准；2025按2026年6月PPI同比+4.1%回推，2024按2025上半年PPI-2.8%回推</x:v>
      </x:c>
      <x:c r="S53" s="12" t="str">
        <x:v>SRC-028, SRC-009, SRC-010, SRC-011</x:v>
      </x:c>
    </x:row>
    <x:row r="54">
      <x:c r="A54" t="str">
        <x:v>CAPEX-050</x:v>
      </x:c>
      <x:c r="B54" t="str">
        <x:v>CAPEX</x:v>
      </x:c>
      <x:c r="C54" t="str">
        <x:v>验证与合规</x:v>
      </x:c>
      <x:c r="D54" t="str">
        <x:v>洁净厂房、设备和计算机化系统IQ/OQ/PQ</x:v>
      </x:c>
      <x:c r="E54" t="str">
        <x:v>项</x:v>
      </x:c>
      <x:c r="F54" s="51" t="n">
        <x:v>988286.8246</x:v>
      </x:c>
      <x:c r="G54" s="51" t="n">
        <x:v>960614.7935</x:v>
      </x:c>
      <x:c r="H54" s="51" t="n">
        <x:v>1000000</x:v>
      </x:c>
      <x:c r="I54" s="51" t="n">
        <x:v>500000</x:v>
      </x:c>
      <x:c r="J54" s="51" t="n">
        <x:v>2000000</x:v>
      </x:c>
      <x:c r="K54" s="65" t="n">
        <x:f>IF(F54=0,0,G54/F54-1)</x:f>
        <x:v>-0.028000000011332737</x:v>
      </x:c>
      <x:c r="L54" s="65" t="n">
        <x:f>IF(G54=0,0,H54/G54-1)</x:f>
        <x:v>0.04099999996512649</x:v>
      </x:c>
      <x:c r="M54" s="65" t="n">
        <x:f>IF(H54=0,0,(J54-I54)/H54)</x:f>
        <x:v>1.5</x:v>
      </x:c>
      <x:c r="N54" s="60" t="n">
        <x:v>2</x:v>
      </x:c>
      <x:c r="O54" s="60" t="n">
        <x:v>2</x:v>
      </x:c>
      <x:c r="P54" s="60" t="n">
        <x:v>2</x:v>
      </x:c>
      <x:c r="Q54" s="60" t="n">
        <x:f>N54*20%+O54*30%+P54*50%</x:f>
        <x:v>2</x:v>
      </x:c>
      <x:c r="R54" s="12" t="str">
        <x:v>当前公开区间基准；2025按2026年6月PPI同比+4.1%回推，2024按2025上半年PPI-2.8%回推</x:v>
      </x:c>
      <x:c r="S54" s="12" t="str">
        <x:v>SRC-031, SRC-009, SRC-010, SRC-011</x:v>
      </x:c>
    </x:row>
    <x:row r="55">
      <x:c r="A55" t="str">
        <x:v>CAPEX-051</x:v>
      </x:c>
      <x:c r="B55" t="str">
        <x:v>CAPEX</x:v>
      </x:c>
      <x:c r="C55" t="str">
        <x:v>项目实施</x:v>
      </x:c>
      <x:c r="D55" t="str">
        <x:v>设备运输、安装、调试与培训</x:v>
      </x:c>
      <x:c r="E55" t="str">
        <x:v>项</x:v>
      </x:c>
      <x:c r="F55" s="51" t="n">
        <x:v>790629.4597</x:v>
      </x:c>
      <x:c r="G55" s="51" t="n">
        <x:v>768491.8348</x:v>
      </x:c>
      <x:c r="H55" s="51" t="n">
        <x:v>800000</x:v>
      </x:c>
      <x:c r="I55" s="51" t="n">
        <x:v>400000</x:v>
      </x:c>
      <x:c r="J55" s="51" t="n">
        <x:v>1600000</x:v>
      </x:c>
      <x:c r="K55" s="65" t="n">
        <x:f>IF(F55=0,0,G55/F55-1)</x:f>
        <x:v>-0.028000000035920847</x:v>
      </x:c>
      <x:c r="L55" s="65" t="n">
        <x:f>IF(G55=0,0,H55/G55-1)</x:f>
        <x:v>0.04099999996512649</x:v>
      </x:c>
      <x:c r="M55" s="65" t="n">
        <x:f>IF(H55=0,0,(J55-I55)/H55)</x:f>
        <x:v>1.5</x:v>
      </x:c>
      <x:c r="N55" s="60" t="n">
        <x:v>2</x:v>
      </x:c>
      <x:c r="O55" s="60" t="n">
        <x:v>2</x:v>
      </x:c>
      <x:c r="P55" s="60" t="n">
        <x:v>2</x:v>
      </x:c>
      <x:c r="Q55" s="60" t="n">
        <x:f>N55*20%+O55*30%+P55*50%</x:f>
        <x:v>2</x:v>
      </x:c>
      <x:c r="R55" s="12" t="str">
        <x:v>当前公开区间基准；2025按2026年6月PPI同比+4.1%回推，2024按2025上半年PPI-2.8%回推</x:v>
      </x:c>
      <x:c r="S55" s="12" t="str">
        <x:v>SRC-031, SRC-009, SRC-010, SRC-011</x:v>
      </x:c>
    </x:row>
    <x:row r="56">
      <x:c r="A56" t="str">
        <x:v>CAPEX-052</x:v>
      </x:c>
      <x:c r="B56" t="str">
        <x:v>CAPEX</x:v>
      </x:c>
      <x:c r="C56" t="str">
        <x:v>项目实施</x:v>
      </x:c>
      <x:c r="D56" t="str">
        <x:v>工程管理、报建、监理与验收</x:v>
      </x:c>
      <x:c r="E56" t="str">
        <x:v>项</x:v>
      </x:c>
      <x:c r="F56" s="51" t="n">
        <x:v>494143.4122</x:v>
      </x:c>
      <x:c r="G56" s="51" t="n">
        <x:v>480307.3967</x:v>
      </x:c>
      <x:c r="H56" s="51" t="n">
        <x:v>500000</x:v>
      </x:c>
      <x:c r="I56" s="51" t="n">
        <x:v>250000</x:v>
      </x:c>
      <x:c r="J56" s="51" t="n">
        <x:v>1000000</x:v>
      </x:c>
      <x:c r="K56" s="65" t="n">
        <x:f>IF(F56=0,0,G56/F56-1)</x:f>
        <x:v>-0.027999999915814033</x:v>
      </x:c>
      <x:c r="L56" s="65" t="n">
        <x:f>IF(G56=0,0,H56/G56-1)</x:f>
        <x:v>0.04100000007349469</x:v>
      </x:c>
      <x:c r="M56" s="65" t="n">
        <x:f>IF(H56=0,0,(J56-I56)/H56)</x:f>
        <x:v>1.5</x:v>
      </x:c>
      <x:c r="N56" s="60" t="n">
        <x:v>2</x:v>
      </x:c>
      <x:c r="O56" s="60" t="n">
        <x:v>2</x:v>
      </x:c>
      <x:c r="P56" s="60" t="n">
        <x:v>2</x:v>
      </x:c>
      <x:c r="Q56" s="60" t="n">
        <x:f>N56*20%+O56*30%+P56*50%</x:f>
        <x:v>2</x:v>
      </x:c>
      <x:c r="R56" s="12" t="str">
        <x:v>当前公开区间基准；2025按2026年6月PPI同比+4.1%回推，2024按2025上半年PPI-2.8%回推</x:v>
      </x:c>
      <x:c r="S56" s="12" t="str">
        <x:v>SRC-031, SRC-009, SRC-010, SRC-011</x:v>
      </x:c>
    </x:row>
    <x:row r="57">
      <x:c r="A57" t="str">
        <x:v>OPEX-001</x:v>
      </x:c>
      <x:c r="B57" t="str">
        <x:v>OPEX</x:v>
      </x:c>
      <x:c r="C57" t="str">
        <x:v>场地</x:v>
      </x:c>
      <x:c r="D57" t="str">
        <x:v>产业园标准厂房租金</x:v>
      </x:c>
      <x:c r="E57" t="str">
        <x:v>m2·年</x:v>
      </x:c>
      <x:c r="F57" s="51" t="n">
        <x:v>552</x:v>
      </x:c>
      <x:c r="G57" s="51" t="n">
        <x:v>579.6</x:v>
      </x:c>
      <x:c r="H57" s="51" t="n">
        <x:v>602.4</x:v>
      </x:c>
      <x:c r="I57" s="51" t="n">
        <x:v>552</x:v>
      </x:c>
      <x:c r="J57" s="51" t="n">
        <x:v>720</x:v>
      </x:c>
      <x:c r="K57" s="65" t="n">
        <x:f>IF(F57=0,0,G57/F57-1)</x:f>
        <x:v>0.050000000000000044</x:v>
      </x:c>
      <x:c r="L57" s="65" t="n">
        <x:f>IF(G57=0,0,H57/G57-1)</x:f>
        <x:v>0.039337474120082705</x:v>
      </x:c>
      <x:c r="M57" s="65" t="n">
        <x:f>IF(H57=0,0,(J57-I57)/H57)</x:f>
        <x:v>0.27888446215139445</x:v>
      </x:c>
      <x:c r="N57" s="60" t="n">
        <x:v>7</x:v>
      </x:c>
      <x:c r="O57" s="60" t="n">
        <x:v>5</x:v>
      </x:c>
      <x:c r="P57" s="60" t="n">
        <x:v>7</x:v>
      </x:c>
      <x:c r="Q57" s="60" t="n">
        <x:f>N57*20%+O57*30%+P57*50%</x:f>
        <x:v>6.4</x:v>
      </x:c>
      <x:c r="R57" s="12" t="str">
        <x:v>2024园区公开租金；2025按5%市场增长估算</x:v>
      </x:c>
      <x:c r="S57" s="12" t="str">
        <x:v>SRC-015</x:v>
      </x:c>
    </x:row>
    <x:row r="58">
      <x:c r="A58" t="str">
        <x:v>OPEX-002</x:v>
      </x:c>
      <x:c r="B58" t="str">
        <x:v>OPEX</x:v>
      </x:c>
      <x:c r="C58" t="str">
        <x:v>场地</x:v>
      </x:c>
      <x:c r="D58" t="str">
        <x:v>园区物业与公摊服务费</x:v>
      </x:c>
      <x:c r="E58" t="str">
        <x:v>m2·年</x:v>
      </x:c>
      <x:c r="F58" s="51" t="n">
        <x:v>71.1567</x:v>
      </x:c>
      <x:c r="G58" s="51" t="n">
        <x:v>69.1643</x:v>
      </x:c>
      <x:c r="H58" s="51" t="n">
        <x:v>72</x:v>
      </x:c>
      <x:c r="I58" s="51" t="n">
        <x:v>48</x:v>
      </x:c>
      <x:c r="J58" s="51" t="n">
        <x:v>120</x:v>
      </x:c>
      <x:c r="K58" s="65" t="n">
        <x:f>IF(F58=0,0,G58/F58-1)</x:f>
        <x:v>-0.02800017426328094</x:v>
      </x:c>
      <x:c r="L58" s="65" t="n">
        <x:f>IF(G58=0,0,H58/G58-1)</x:f>
        <x:v>0.0409994751627647</x:v>
      </x:c>
      <x:c r="M58" s="65" t="n">
        <x:f>IF(H58=0,0,(J58-I58)/H58)</x:f>
        <x:v>1</x:v>
      </x:c>
      <x:c r="N58" s="60" t="n">
        <x:v>3</x:v>
      </x:c>
      <x:c r="O58" s="60" t="n">
        <x:v>3</x:v>
      </x:c>
      <x:c r="P58" s="60" t="n">
        <x:v>3</x:v>
      </x:c>
      <x:c r="Q58" s="60" t="n">
        <x:f>N58*20%+O58*30%+P58*50%</x:f>
        <x:v>3</x:v>
      </x:c>
      <x:c r="R58" s="12" t="str">
        <x:v>当前公开区间基准；2025按2026年6月PPI同比+4.1%回推，2024按2025上半年PPI-2.8%回推</x:v>
      </x:c>
      <x:c r="S58" s="12" t="str">
        <x:v>SRC-031, SRC-009, SRC-010, SRC-011</x:v>
      </x:c>
    </x:row>
    <x:row r="59">
      <x:c r="A59" t="str">
        <x:v>OPEX-003</x:v>
      </x:c>
      <x:c r="B59" t="str">
        <x:v>OPEX</x:v>
      </x:c>
      <x:c r="C59" t="str">
        <x:v>人员</x:v>
      </x:c>
      <x:c r="D59" t="str">
        <x:v>生产操作人员</x:v>
      </x:c>
      <x:c r="E59" t="str">
        <x:v>FTE·年</x:v>
      </x:c>
      <x:c r="F59" s="51" t="n">
        <x:v>106000</x:v>
      </x:c>
      <x:c r="G59" s="51" t="n">
        <x:v>112000</x:v>
      </x:c>
      <x:c r="H59" s="51" t="n">
        <x:v>120000</x:v>
      </x:c>
      <x:c r="I59" s="51" t="n">
        <x:v>90000</x:v>
      </x:c>
      <x:c r="J59" s="51" t="n">
        <x:v>160000</x:v>
      </x:c>
      <x:c r="K59" s="65" t="n">
        <x:f>IF(F59=0,0,G59/F59-1)</x:f>
        <x:v>0.05660377358490565</x:v>
      </x:c>
      <x:c r="L59" s="65" t="n">
        <x:f>IF(G59=0,0,H59/G59-1)</x:f>
        <x:v>0.0714285714285714</x:v>
      </x:c>
      <x:c r="M59" s="65" t="n">
        <x:f>IF(H59=0,0,(J59-I59)/H59)</x:f>
        <x:v>0.5833333333333334</x:v>
      </x:c>
      <x:c r="N59" s="60" t="n">
        <x:v>7</x:v>
      </x:c>
      <x:c r="O59" s="60" t="n">
        <x:v>7</x:v>
      </x:c>
      <x:c r="P59" s="60" t="n">
        <x:v>7</x:v>
      </x:c>
      <x:c r="Q59" s="60" t="n">
        <x:f>N59*20%+O59*30%+P59*50%</x:f>
        <x:v>7</x:v>
      </x:c>
      <x:c r="R59" s="12" t="str">
        <x:v>成都工资统计结合岗位系数</x:v>
      </x:c>
      <x:c r="S59" s="12" t="str">
        <x:v>SRC-013, SRC-014</x:v>
      </x:c>
    </x:row>
    <x:row r="60">
      <x:c r="A60" t="str">
        <x:v>OPEX-004</x:v>
      </x:c>
      <x:c r="B60" t="str">
        <x:v>OPEX</x:v>
      </x:c>
      <x:c r="C60" t="str">
        <x:v>人员</x:v>
      </x:c>
      <x:c r="D60" t="str">
        <x:v>QC检验人员</x:v>
      </x:c>
      <x:c r="E60" t="str">
        <x:v>FTE·年</x:v>
      </x:c>
      <x:c r="F60" s="51" t="n">
        <x:v>149000</x:v>
      </x:c>
      <x:c r="G60" s="51" t="n">
        <x:v>157000</x:v>
      </x:c>
      <x:c r="H60" s="51" t="n">
        <x:v>165000</x:v>
      </x:c>
      <x:c r="I60" s="51" t="n">
        <x:v>130000</x:v>
      </x:c>
      <x:c r="J60" s="51" t="n">
        <x:v>220000</x:v>
      </x:c>
      <x:c r="K60" s="65" t="n">
        <x:f>IF(F60=0,0,G60/F60-1)</x:f>
        <x:v>0.05369127516778516</x:v>
      </x:c>
      <x:c r="L60" s="65" t="n">
        <x:f>IF(G60=0,0,H60/G60-1)</x:f>
        <x:v>0.05095541401273884</x:v>
      </x:c>
      <x:c r="M60" s="65" t="n">
        <x:f>IF(H60=0,0,(J60-I60)/H60)</x:f>
        <x:v>0.5454545454545454</x:v>
      </x:c>
      <x:c r="N60" s="60" t="n">
        <x:v>7</x:v>
      </x:c>
      <x:c r="O60" s="60" t="n">
        <x:v>7</x:v>
      </x:c>
      <x:c r="P60" s="60" t="n">
        <x:v>7</x:v>
      </x:c>
      <x:c r="Q60" s="60" t="n">
        <x:f>N60*20%+O60*30%+P60*50%</x:f>
        <x:v>7</x:v>
      </x:c>
      <x:c r="R60" s="12" t="str">
        <x:v>成都工资统计结合岗位系数</x:v>
      </x:c>
      <x:c r="S60" s="12" t="str">
        <x:v>SRC-013, SRC-014</x:v>
      </x:c>
    </x:row>
    <x:row r="61">
      <x:c r="A61" t="str">
        <x:v>OPEX-005</x:v>
      </x:c>
      <x:c r="B61" t="str">
        <x:v>OPEX</x:v>
      </x:c>
      <x:c r="C61" t="str">
        <x:v>人员</x:v>
      </x:c>
      <x:c r="D61" t="str">
        <x:v>QA与放行人员</x:v>
      </x:c>
      <x:c r="E61" t="str">
        <x:v>FTE·年</x:v>
      </x:c>
      <x:c r="F61" s="51" t="n">
        <x:v>167000</x:v>
      </x:c>
      <x:c r="G61" s="51" t="n">
        <x:v>176000</x:v>
      </x:c>
      <x:c r="H61" s="51" t="n">
        <x:v>185000</x:v>
      </x:c>
      <x:c r="I61" s="51" t="n">
        <x:v>145000</x:v>
      </x:c>
      <x:c r="J61" s="51" t="n">
        <x:v>250000</x:v>
      </x:c>
      <x:c r="K61" s="65" t="n">
        <x:f>IF(F61=0,0,G61/F61-1)</x:f>
        <x:v>0.05389221556886237</x:v>
      </x:c>
      <x:c r="L61" s="65" t="n">
        <x:f>IF(G61=0,0,H61/G61-1)</x:f>
        <x:v>0.051136363636363535</x:v>
      </x:c>
      <x:c r="M61" s="65" t="n">
        <x:f>IF(H61=0,0,(J61-I61)/H61)</x:f>
        <x:v>0.5675675675675675</x:v>
      </x:c>
      <x:c r="N61" s="60" t="n">
        <x:v>7</x:v>
      </x:c>
      <x:c r="O61" s="60" t="n">
        <x:v>7</x:v>
      </x:c>
      <x:c r="P61" s="60" t="n">
        <x:v>7</x:v>
      </x:c>
      <x:c r="Q61" s="60" t="n">
        <x:f>N61*20%+O61*30%+P61*50%</x:f>
        <x:v>7</x:v>
      </x:c>
      <x:c r="R61" s="12" t="str">
        <x:v>成都工资统计结合岗位系数</x:v>
      </x:c>
      <x:c r="S61" s="12" t="str">
        <x:v>SRC-013, SRC-014</x:v>
      </x:c>
    </x:row>
    <x:row r="62">
      <x:c r="A62" t="str">
        <x:v>OPEX-006</x:v>
      </x:c>
      <x:c r="B62" t="str">
        <x:v>OPEX</x:v>
      </x:c>
      <x:c r="C62" t="str">
        <x:v>人员</x:v>
      </x:c>
      <x:c r="D62" t="str">
        <x:v>工艺与产品研发人员</x:v>
      </x:c>
      <x:c r="E62" t="str">
        <x:v>FTE·年</x:v>
      </x:c>
      <x:c r="F62" s="51" t="n">
        <x:v>181000</x:v>
      </x:c>
      <x:c r="G62" s="51" t="n">
        <x:v>190000</x:v>
      </x:c>
      <x:c r="H62" s="51" t="n">
        <x:v>200000</x:v>
      </x:c>
      <x:c r="I62" s="51" t="n">
        <x:v>150000</x:v>
      </x:c>
      <x:c r="J62" s="51" t="n">
        <x:v>300000</x:v>
      </x:c>
      <x:c r="K62" s="65" t="n">
        <x:f>IF(F62=0,0,G62/F62-1)</x:f>
        <x:v>0.04972375690607733</x:v>
      </x:c>
      <x:c r="L62" s="65" t="n">
        <x:f>IF(G62=0,0,H62/G62-1)</x:f>
        <x:v>0.05263157894736836</x:v>
      </x:c>
      <x:c r="M62" s="65" t="n">
        <x:f>IF(H62=0,0,(J62-I62)/H62)</x:f>
        <x:v>0.75</x:v>
      </x:c>
      <x:c r="N62" s="60" t="n">
        <x:v>7</x:v>
      </x:c>
      <x:c r="O62" s="60" t="n">
        <x:v>7</x:v>
      </x:c>
      <x:c r="P62" s="60" t="n">
        <x:v>7</x:v>
      </x:c>
      <x:c r="Q62" s="60" t="n">
        <x:f>N62*20%+O62*30%+P62*50%</x:f>
        <x:v>7</x:v>
      </x:c>
      <x:c r="R62" s="12" t="str">
        <x:v>成都工资统计结合岗位系数</x:v>
      </x:c>
      <x:c r="S62" s="12" t="str">
        <x:v>SRC-013, SRC-014</x:v>
      </x:c>
    </x:row>
    <x:row r="63">
      <x:c r="A63" t="str">
        <x:v>OPEX-007</x:v>
      </x:c>
      <x:c r="B63" t="str">
        <x:v>OPEX</x:v>
      </x:c>
      <x:c r="C63" t="str">
        <x:v>人员</x:v>
      </x:c>
      <x:c r="D63" t="str">
        <x:v>设备工程、厂务和EHS人员</x:v>
      </x:c>
      <x:c r="E63" t="str">
        <x:v>FTE·年</x:v>
      </x:c>
      <x:c r="F63" s="51" t="n">
        <x:v>149000</x:v>
      </x:c>
      <x:c r="G63" s="51" t="n">
        <x:v>157000</x:v>
      </x:c>
      <x:c r="H63" s="51" t="n">
        <x:v>165000</x:v>
      </x:c>
      <x:c r="I63" s="51" t="n">
        <x:v>125000</x:v>
      </x:c>
      <x:c r="J63" s="51" t="n">
        <x:v>230000</x:v>
      </x:c>
      <x:c r="K63" s="65" t="n">
        <x:f>IF(F63=0,0,G63/F63-1)</x:f>
        <x:v>0.05369127516778516</x:v>
      </x:c>
      <x:c r="L63" s="65" t="n">
        <x:f>IF(G63=0,0,H63/G63-1)</x:f>
        <x:v>0.05095541401273884</x:v>
      </x:c>
      <x:c r="M63" s="65" t="n">
        <x:f>IF(H63=0,0,(J63-I63)/H63)</x:f>
        <x:v>0.6363636363636364</x:v>
      </x:c>
      <x:c r="N63" s="60" t="n">
        <x:v>7</x:v>
      </x:c>
      <x:c r="O63" s="60" t="n">
        <x:v>7</x:v>
      </x:c>
      <x:c r="P63" s="60" t="n">
        <x:v>7</x:v>
      </x:c>
      <x:c r="Q63" s="60" t="n">
        <x:f>N63*20%+O63*30%+P63*50%</x:f>
        <x:v>7</x:v>
      </x:c>
      <x:c r="R63" s="12" t="str">
        <x:v>成都工资统计结合岗位系数</x:v>
      </x:c>
      <x:c r="S63" s="12" t="str">
        <x:v>SRC-013, SRC-014</x:v>
      </x:c>
    </x:row>
    <x:row r="64">
      <x:c r="A64" t="str">
        <x:v>OPEX-008</x:v>
      </x:c>
      <x:c r="B64" t="str">
        <x:v>OPEX</x:v>
      </x:c>
      <x:c r="C64" t="str">
        <x:v>人员</x:v>
      </x:c>
      <x:c r="D64" t="str">
        <x:v>仓储、物料和冷链人员</x:v>
      </x:c>
      <x:c r="E64" t="str">
        <x:v>FTE·年</x:v>
      </x:c>
      <x:c r="F64" s="51" t="n">
        <x:v>104000</x:v>
      </x:c>
      <x:c r="G64" s="51" t="n">
        <x:v>109000</x:v>
      </x:c>
      <x:c r="H64" s="51" t="n">
        <x:v>115000</x:v>
      </x:c>
      <x:c r="I64" s="51" t="n">
        <x:v>85000</x:v>
      </x:c>
      <x:c r="J64" s="51" t="n">
        <x:v>160000</x:v>
      </x:c>
      <x:c r="K64" s="65" t="n">
        <x:f>IF(F64=0,0,G64/F64-1)</x:f>
        <x:v>0.04807692307692313</x:v>
      </x:c>
      <x:c r="L64" s="65" t="n">
        <x:f>IF(G64=0,0,H64/G64-1)</x:f>
        <x:v>0.05504587155963292</x:v>
      </x:c>
      <x:c r="M64" s="65" t="n">
        <x:f>IF(H64=0,0,(J64-I64)/H64)</x:f>
        <x:v>0.6521739130434783</x:v>
      </x:c>
      <x:c r="N64" s="60" t="n">
        <x:v>7</x:v>
      </x:c>
      <x:c r="O64" s="60" t="n">
        <x:v>7</x:v>
      </x:c>
      <x:c r="P64" s="60" t="n">
        <x:v>7</x:v>
      </x:c>
      <x:c r="Q64" s="60" t="n">
        <x:f>N64*20%+O64*30%+P64*50%</x:f>
        <x:v>7</x:v>
      </x:c>
      <x:c r="R64" s="12" t="str">
        <x:v>成都工资统计结合岗位系数</x:v>
      </x:c>
      <x:c r="S64" s="12" t="str">
        <x:v>SRC-013, SRC-014</x:v>
      </x:c>
    </x:row>
    <x:row r="65">
      <x:c r="A65" t="str">
        <x:v>OPEX-009</x:v>
      </x:c>
      <x:c r="B65" t="str">
        <x:v>OPEX</x:v>
      </x:c>
      <x:c r="C65" t="str">
        <x:v>人员</x:v>
      </x:c>
      <x:c r="D65" t="str">
        <x:v>法规、注册与临床支持人员</x:v>
      </x:c>
      <x:c r="E65" t="str">
        <x:v>FTE·年</x:v>
      </x:c>
      <x:c r="F65" s="51" t="n">
        <x:v>181000</x:v>
      </x:c>
      <x:c r="G65" s="51" t="n">
        <x:v>190000</x:v>
      </x:c>
      <x:c r="H65" s="51" t="n">
        <x:v>200000</x:v>
      </x:c>
      <x:c r="I65" s="51" t="n">
        <x:v>150000</x:v>
      </x:c>
      <x:c r="J65" s="51" t="n">
        <x:v>300000</x:v>
      </x:c>
      <x:c r="K65" s="65" t="n">
        <x:f>IF(F65=0,0,G65/F65-1)</x:f>
        <x:v>0.04972375690607733</x:v>
      </x:c>
      <x:c r="L65" s="65" t="n">
        <x:f>IF(G65=0,0,H65/G65-1)</x:f>
        <x:v>0.05263157894736836</x:v>
      </x:c>
      <x:c r="M65" s="65" t="n">
        <x:f>IF(H65=0,0,(J65-I65)/H65)</x:f>
        <x:v>0.75</x:v>
      </x:c>
      <x:c r="N65" s="60" t="n">
        <x:v>7</x:v>
      </x:c>
      <x:c r="O65" s="60" t="n">
        <x:v>7</x:v>
      </x:c>
      <x:c r="P65" s="60" t="n">
        <x:v>7</x:v>
      </x:c>
      <x:c r="Q65" s="60" t="n">
        <x:f>N65*20%+O65*30%+P65*50%</x:f>
        <x:v>7</x:v>
      </x:c>
      <x:c r="R65" s="12" t="str">
        <x:v>成都工资统计结合岗位系数</x:v>
      </x:c>
      <x:c r="S65" s="12" t="str">
        <x:v>SRC-013, SRC-014</x:v>
      </x:c>
    </x:row>
    <x:row r="66">
      <x:c r="A66" t="str">
        <x:v>OPEX-010</x:v>
      </x:c>
      <x:c r="B66" t="str">
        <x:v>OPEX</x:v>
      </x:c>
      <x:c r="C66" t="str">
        <x:v>人员</x:v>
      </x:c>
      <x:c r="D66" t="str">
        <x:v>财务、采购、HR与行政</x:v>
      </x:c>
      <x:c r="E66" t="str">
        <x:v>FTE·年</x:v>
      </x:c>
      <x:c r="F66" s="51" t="n">
        <x:v>122000</x:v>
      </x:c>
      <x:c r="G66" s="51" t="n">
        <x:v>128000</x:v>
      </x:c>
      <x:c r="H66" s="51" t="n">
        <x:v>135000</x:v>
      </x:c>
      <x:c r="I66" s="51" t="n">
        <x:v>100000</x:v>
      </x:c>
      <x:c r="J66" s="51" t="n">
        <x:v>190000</x:v>
      </x:c>
      <x:c r="K66" s="65" t="n">
        <x:f>IF(F66=0,0,G66/F66-1)</x:f>
        <x:v>0.049180327868852514</x:v>
      </x:c>
      <x:c r="L66" s="65" t="n">
        <x:f>IF(G66=0,0,H66/G66-1)</x:f>
        <x:v>0.0546875</x:v>
      </x:c>
      <x:c r="M66" s="65" t="n">
        <x:f>IF(H66=0,0,(J66-I66)/H66)</x:f>
        <x:v>0.6666666666666666</x:v>
      </x:c>
      <x:c r="N66" s="60" t="n">
        <x:v>7</x:v>
      </x:c>
      <x:c r="O66" s="60" t="n">
        <x:v>7</x:v>
      </x:c>
      <x:c r="P66" s="60" t="n">
        <x:v>7</x:v>
      </x:c>
      <x:c r="Q66" s="60" t="n">
        <x:f>N66*20%+O66*30%+P66*50%</x:f>
        <x:v>7</x:v>
      </x:c>
      <x:c r="R66" s="12" t="str">
        <x:v>成都工资统计结合岗位系数</x:v>
      </x:c>
      <x:c r="S66" s="12" t="str">
        <x:v>SRC-013, SRC-014</x:v>
      </x:c>
    </x:row>
    <x:row r="67">
      <x:c r="A67" t="str">
        <x:v>OPEX-011</x:v>
      </x:c>
      <x:c r="B67" t="str">
        <x:v>OPEX</x:v>
      </x:c>
      <x:c r="C67" t="str">
        <x:v>公用事业</x:v>
      </x:c>
      <x:c r="D67" t="str">
        <x:v>市政水、纯化水制备和排水</x:v>
      </x:c>
      <x:c r="E67" t="str">
        <x:v>m3</x:v>
      </x:c>
      <x:c r="F67" s="51" t="n">
        <x:v>4.4</x:v>
      </x:c>
      <x:c r="G67" s="51" t="n">
        <x:v>4.55</x:v>
      </x:c>
      <x:c r="H67" s="51" t="n">
        <x:v>4.7</x:v>
      </x:c>
      <x:c r="I67" s="51" t="n">
        <x:v>4.3</x:v>
      </x:c>
      <x:c r="J67" s="51" t="n">
        <x:v>5.5</x:v>
      </x:c>
      <x:c r="K67" s="65" t="n">
        <x:f>IF(F67=0,0,G67/F67-1)</x:f>
        <x:v>0.03409090909090895</x:v>
      </x:c>
      <x:c r="L67" s="65" t="n">
        <x:f>IF(G67=0,0,H67/G67-1)</x:f>
        <x:v>0.03296703296703307</x:v>
      </x:c>
      <x:c r="M67" s="65" t="n">
        <x:f>IF(H67=0,0,(J67-I67)/H67)</x:f>
        <x:v>0.25531914893617025</x:v>
      </x:c>
      <x:c r="N67" s="60" t="n">
        <x:v>3</x:v>
      </x:c>
      <x:c r="O67" s="60" t="n">
        <x:v>5</x:v>
      </x:c>
      <x:c r="P67" s="60" t="n">
        <x:v>5</x:v>
      </x:c>
      <x:c r="Q67" s="60" t="n">
        <x:f>N67*20%+O67*30%+P67*50%</x:f>
        <x:v>4.6</x:v>
      </x:c>
      <x:c r="R67" s="12" t="str">
        <x:v>2025天府新区非居民水价；2024按低位回推</x:v>
      </x:c>
      <x:c r="S67" s="12" t="str">
        <x:v>SRC-016</x:v>
      </x:c>
    </x:row>
    <x:row r="68">
      <x:c r="A68" t="str">
        <x:v>OPEX-012</x:v>
      </x:c>
      <x:c r="B68" t="str">
        <x:v>OPEX</x:v>
      </x:c>
      <x:c r="C68" t="str">
        <x:v>公用事业</x:v>
      </x:c>
      <x:c r="D68" t="str">
        <x:v>生产、检验和办公基础电耗</x:v>
      </x:c>
      <x:c r="E68" t="str">
        <x:v>kWh</x:v>
      </x:c>
      <x:c r="F68" s="51" t="n">
        <x:v>0.59</x:v>
      </x:c>
      <x:c r="G68" s="51" t="n">
        <x:v>0.57</x:v>
      </x:c>
      <x:c r="H68" s="51" t="n">
        <x:v>0.59</x:v>
      </x:c>
      <x:c r="I68" s="51" t="n">
        <x:v>0.5</x:v>
      </x:c>
      <x:c r="J68" s="51" t="n">
        <x:v>0.72</x:v>
      </x:c>
      <x:c r="K68" s="65" t="n">
        <x:f>IF(F68=0,0,G68/F68-1)</x:f>
        <x:v>-0.03389830508474578</x:v>
      </x:c>
      <x:c r="L68" s="65" t="n">
        <x:f>IF(G68=0,0,H68/G68-1)</x:f>
        <x:v>0.03508771929824572</x:v>
      </x:c>
      <x:c r="M68" s="65" t="n">
        <x:f>IF(H68=0,0,(J68-I68)/H68)</x:f>
        <x:v>0.37288135593220334</x:v>
      </x:c>
      <x:c r="N68" s="60" t="n">
        <x:v>5</x:v>
      </x:c>
      <x:c r="O68" s="60" t="n">
        <x:v>9</x:v>
      </x:c>
      <x:c r="P68" s="60" t="n">
        <x:v>9</x:v>
      </x:c>
      <x:c r="Q68" s="60" t="n">
        <x:f>N68*20%+O68*30%+P68*50%</x:f>
        <x:v>8.2</x:v>
      </x:c>
      <x:c r="R68" s="12" t="str">
        <x:v>四川2025工商业均价；2024按市场均值回推</x:v>
      </x:c>
      <x:c r="S68" s="12" t="str">
        <x:v>SRC-012</x:v>
      </x:c>
    </x:row>
    <x:row r="69">
      <x:c r="A69" t="str">
        <x:v>OPEX-013</x:v>
      </x:c>
      <x:c r="B69" t="str">
        <x:v>OPEX</x:v>
      </x:c>
      <x:c r="C69" t="str">
        <x:v>公用事业</x:v>
      </x:c>
      <x:c r="D69" t="str">
        <x:v>洁净HVAC全年电耗</x:v>
      </x:c>
      <x:c r="E69" t="str">
        <x:v>kWh</x:v>
      </x:c>
      <x:c r="F69" s="51" t="n">
        <x:v>0.59</x:v>
      </x:c>
      <x:c r="G69" s="51" t="n">
        <x:v>0.57</x:v>
      </x:c>
      <x:c r="H69" s="51" t="n">
        <x:v>0.59</x:v>
      </x:c>
      <x:c r="I69" s="51" t="n">
        <x:v>0.5</x:v>
      </x:c>
      <x:c r="J69" s="51" t="n">
        <x:v>0.72</x:v>
      </x:c>
      <x:c r="K69" s="65" t="n">
        <x:f>IF(F69=0,0,G69/F69-1)</x:f>
        <x:v>-0.03389830508474578</x:v>
      </x:c>
      <x:c r="L69" s="65" t="n">
        <x:f>IF(G69=0,0,H69/G69-1)</x:f>
        <x:v>0.03508771929824572</x:v>
      </x:c>
      <x:c r="M69" s="65" t="n">
        <x:f>IF(H69=0,0,(J69-I69)/H69)</x:f>
        <x:v>0.37288135593220334</x:v>
      </x:c>
      <x:c r="N69" s="60" t="n">
        <x:v>5</x:v>
      </x:c>
      <x:c r="O69" s="60" t="n">
        <x:v>9</x:v>
      </x:c>
      <x:c r="P69" s="60" t="n">
        <x:v>9</x:v>
      </x:c>
      <x:c r="Q69" s="60" t="n">
        <x:f>N69*20%+O69*30%+P69*50%</x:f>
        <x:v>8.2</x:v>
      </x:c>
      <x:c r="R69" s="12" t="str">
        <x:v>四川2025工商业均价；2024按市场均值回推</x:v>
      </x:c>
      <x:c r="S69" s="12" t="str">
        <x:v>SRC-012</x:v>
      </x:c>
    </x:row>
    <x:row r="70">
      <x:c r="A70" t="str">
        <x:v>OPEX-014</x:v>
      </x:c>
      <x:c r="B70" t="str">
        <x:v>OPEX</x:v>
      </x:c>
      <x:c r="C70" t="str">
        <x:v>公用事业</x:v>
      </x:c>
      <x:c r="D70" t="str">
        <x:v>-20C与2-8C冷库电耗</x:v>
      </x:c>
      <x:c r="E70" t="str">
        <x:v>kWh</x:v>
      </x:c>
      <x:c r="F70" s="51" t="n">
        <x:v>0.59</x:v>
      </x:c>
      <x:c r="G70" s="51" t="n">
        <x:v>0.57</x:v>
      </x:c>
      <x:c r="H70" s="51" t="n">
        <x:v>0.59</x:v>
      </x:c>
      <x:c r="I70" s="51" t="n">
        <x:v>0.5</x:v>
      </x:c>
      <x:c r="J70" s="51" t="n">
        <x:v>0.72</x:v>
      </x:c>
      <x:c r="K70" s="65" t="n">
        <x:f>IF(F70=0,0,G70/F70-1)</x:f>
        <x:v>-0.03389830508474578</x:v>
      </x:c>
      <x:c r="L70" s="65" t="n">
        <x:f>IF(G70=0,0,H70/G70-1)</x:f>
        <x:v>0.03508771929824572</x:v>
      </x:c>
      <x:c r="M70" s="65" t="n">
        <x:f>IF(H70=0,0,(J70-I70)/H70)</x:f>
        <x:v>0.37288135593220334</x:v>
      </x:c>
      <x:c r="N70" s="60" t="n">
        <x:v>5</x:v>
      </x:c>
      <x:c r="O70" s="60" t="n">
        <x:v>9</x:v>
      </x:c>
      <x:c r="P70" s="60" t="n">
        <x:v>9</x:v>
      </x:c>
      <x:c r="Q70" s="60" t="n">
        <x:f>N70*20%+O70*30%+P70*50%</x:f>
        <x:v>8.2</x:v>
      </x:c>
      <x:c r="R70" s="12" t="str">
        <x:v>四川2025工商业均价；2024按市场均值回推</x:v>
      </x:c>
      <x:c r="S70" s="12" t="str">
        <x:v>SRC-012</x:v>
      </x:c>
    </x:row>
    <x:row r="71">
      <x:c r="A71" t="str">
        <x:v>OPEX-015</x:v>
      </x:c>
      <x:c r="B71" t="str">
        <x:v>OPEX</x:v>
      </x:c>
      <x:c r="C71" t="str">
        <x:v>公用事业</x:v>
      </x:c>
      <x:c r="D71" t="str">
        <x:v>发电机测试、柴油和应急演练</x:v>
      </x:c>
      <x:c r="E71" t="str">
        <x:v>年</x:v>
      </x:c>
      <x:c r="F71" s="51" t="n">
        <x:v>29648.6047</x:v>
      </x:c>
      <x:c r="G71" s="51" t="n">
        <x:v>28818.4438</x:v>
      </x:c>
      <x:c r="H71" s="51" t="n">
        <x:v>30000</x:v>
      </x:c>
      <x:c r="I71" s="51" t="n">
        <x:v>15000</x:v>
      </x:c>
      <x:c r="J71" s="51" t="n">
        <x:v>60000</x:v>
      </x:c>
      <x:c r="K71" s="65" t="n">
        <x:f>IF(F71=0,0,G71/F71-1)</x:f>
        <x:v>-0.02799999893418248</x:v>
      </x:c>
      <x:c r="L71" s="65" t="n">
        <x:f>IF(G71=0,0,H71/G71-1)</x:f>
        <x:v>0.04100000014574001</x:v>
      </x:c>
      <x:c r="M71" s="65" t="n">
        <x:f>IF(H71=0,0,(J71-I71)/H71)</x:f>
        <x:v>1.5</x:v>
      </x:c>
      <x:c r="N71" s="60" t="n">
        <x:v>3</x:v>
      </x:c>
      <x:c r="O71" s="60" t="n">
        <x:v>3</x:v>
      </x:c>
      <x:c r="P71" s="60" t="n">
        <x:v>3</x:v>
      </x:c>
      <x:c r="Q71" s="60" t="n">
        <x:f>N71*20%+O71*30%+P71*50%</x:f>
        <x:v>3</x:v>
      </x:c>
      <x:c r="R71" s="12" t="str">
        <x:v>当前公开区间基准；2025按2026年6月PPI同比+4.1%回推，2024按2025上半年PPI-2.8%回推</x:v>
      </x:c>
      <x:c r="S71" s="12" t="str">
        <x:v>SRC-027, SRC-009, SRC-010, SRC-011</x:v>
      </x:c>
    </x:row>
    <x:row r="72">
      <x:c r="A72" t="str">
        <x:v>OPEX-016</x:v>
      </x:c>
      <x:c r="B72" t="str">
        <x:v>OPEX</x:v>
      </x:c>
      <x:c r="C72" t="str">
        <x:v>设备与厂务</x:v>
      </x:c>
      <x:c r="D72" t="str">
        <x:v>设备、HVAC与冷库年度维保</x:v>
      </x:c>
      <x:c r="E72" t="str">
        <x:v>年</x:v>
      </x:c>
      <x:c r="F72" s="51" t="n">
        <x:v>889458.1421</x:v>
      </x:c>
      <x:c r="G72" s="51" t="n">
        <x:v>864553.3141</x:v>
      </x:c>
      <x:c r="H72" s="51" t="n">
        <x:v>900000</x:v>
      </x:c>
      <x:c r="I72" s="51" t="n">
        <x:v>500000</x:v>
      </x:c>
      <x:c r="J72" s="51" t="n">
        <x:v>1600000</x:v>
      </x:c>
      <x:c r="K72" s="65" t="n">
        <x:f>IF(F72=0,0,G72/F72-1)</x:f>
        <x:v>-0.028000000023834848</x:v>
      </x:c>
      <x:c r="L72" s="65" t="n">
        <x:f>IF(G72=0,0,H72/G72-1)</x:f>
        <x:v>0.041000000025330996</x:v>
      </x:c>
      <x:c r="M72" s="65" t="n">
        <x:f>IF(H72=0,0,(J72-I72)/H72)</x:f>
        <x:v>1.2222222222222223</x:v>
      </x:c>
      <x:c r="N72" s="60" t="n">
        <x:v>2</x:v>
      </x:c>
      <x:c r="O72" s="60" t="n">
        <x:v>2</x:v>
      </x:c>
      <x:c r="P72" s="60" t="n">
        <x:v>2</x:v>
      </x:c>
      <x:c r="Q72" s="60" t="n">
        <x:f>N72*20%+O72*30%+P72*50%</x:f>
        <x:v>2</x:v>
      </x:c>
      <x:c r="R72" s="12" t="str">
        <x:v>当前公开区间基准；2025按2026年6月PPI同比+4.1%回推，2024按2025上半年PPI-2.8%回推</x:v>
      </x:c>
      <x:c r="S72" s="12" t="str">
        <x:v>SRC-031, SRC-009, SRC-010, SRC-011</x:v>
      </x:c>
    </x:row>
    <x:row r="73">
      <x:c r="A73" t="str">
        <x:v>OPEX-017</x:v>
      </x:c>
      <x:c r="B73" t="str">
        <x:v>OPEX</x:v>
      </x:c>
      <x:c r="C73" t="str">
        <x:v>质量与合规</x:v>
      </x:c>
      <x:c r="D73" t="str">
        <x:v>仪器设备计量校准</x:v>
      </x:c>
      <x:c r="E73" t="str">
        <x:v>年</x:v>
      </x:c>
      <x:c r="F73" s="51" t="n">
        <x:v>247071.7062</x:v>
      </x:c>
      <x:c r="G73" s="51" t="n">
        <x:v>240153.6984</x:v>
      </x:c>
      <x:c r="H73" s="51" t="n">
        <x:v>250000</x:v>
      </x:c>
      <x:c r="I73" s="51" t="n">
        <x:v>120000</x:v>
      </x:c>
      <x:c r="J73" s="51" t="n">
        <x:v>500000</x:v>
      </x:c>
      <x:c r="K73" s="65" t="n">
        <x:f>IF(F73=0,0,G73/F73-1)</x:f>
        <x:v>-0.028000000106851552</x:v>
      </x:c>
      <x:c r="L73" s="65" t="n">
        <x:f>IF(G73=0,0,H73/G73-1)</x:f>
        <x:v>0.04099999985675851</x:v>
      </x:c>
      <x:c r="M73" s="65" t="n">
        <x:f>IF(H73=0,0,(J73-I73)/H73)</x:f>
        <x:v>1.52</x:v>
      </x:c>
      <x:c r="N73" s="60" t="n">
        <x:v>2</x:v>
      </x:c>
      <x:c r="O73" s="60" t="n">
        <x:v>2</x:v>
      </x:c>
      <x:c r="P73" s="60" t="n">
        <x:v>2</x:v>
      </x:c>
      <x:c r="Q73" s="60" t="n">
        <x:f>N73*20%+O73*30%+P73*50%</x:f>
        <x:v>2</x:v>
      </x:c>
      <x:c r="R73" s="12" t="str">
        <x:v>当前公开区间基准；2025按2026年6月PPI同比+4.1%回推，2024按2025上半年PPI-2.8%回推</x:v>
      </x:c>
      <x:c r="S73" s="12" t="str">
        <x:v>SRC-031, SRC-009, SRC-010, SRC-011</x:v>
      </x:c>
    </x:row>
    <x:row r="74">
      <x:c r="A74" t="str">
        <x:v>OPEX-018</x:v>
      </x:c>
      <x:c r="B74" t="str">
        <x:v>OPEX</x:v>
      </x:c>
      <x:c r="C74" t="str">
        <x:v>质量与合规</x:v>
      </x:c>
      <x:c r="D74" t="str">
        <x:v>洁净区环境监测与年度检测</x:v>
      </x:c>
      <x:c r="E74" t="str">
        <x:v>年</x:v>
      </x:c>
      <x:c r="F74" s="51" t="n">
        <x:v>177891.6284</x:v>
      </x:c>
      <x:c r="G74" s="51" t="n">
        <x:v>172910.6628</x:v>
      </x:c>
      <x:c r="H74" s="51" t="n">
        <x:v>180000</x:v>
      </x:c>
      <x:c r="I74" s="51" t="n">
        <x:v>90000</x:v>
      </x:c>
      <x:c r="J74" s="51" t="n">
        <x:v>350000</x:v>
      </x:c>
      <x:c r="K74" s="65" t="n">
        <x:f>IF(F74=0,0,G74/F74-1)</x:f>
        <x:v>-0.028000000026982663</x:v>
      </x:c>
      <x:c r="L74" s="65" t="n">
        <x:f>IF(G74=0,0,H74/G74-1)</x:f>
        <x:v>0.04100000014574001</x:v>
      </x:c>
      <x:c r="M74" s="65" t="n">
        <x:f>IF(H74=0,0,(J74-I74)/H74)</x:f>
        <x:v>1.4444444444444444</x:v>
      </x:c>
      <x:c r="N74" s="60" t="n">
        <x:v>2</x:v>
      </x:c>
      <x:c r="O74" s="60" t="n">
        <x:v>2</x:v>
      </x:c>
      <x:c r="P74" s="60" t="n">
        <x:v>2</x:v>
      </x:c>
      <x:c r="Q74" s="60" t="n">
        <x:f>N74*20%+O74*30%+P74*50%</x:f>
        <x:v>2</x:v>
      </x:c>
      <x:c r="R74" s="12" t="str">
        <x:v>当前公开区间基准；2025按2026年6月PPI同比+4.1%回推，2024按2025上半年PPI-2.8%回推</x:v>
      </x:c>
      <x:c r="S74" s="12" t="str">
        <x:v>SRC-031, SRC-009, SRC-010, SRC-011</x:v>
      </x:c>
    </x:row>
    <x:row r="75">
      <x:c r="A75" t="str">
        <x:v>OPEX-019</x:v>
      </x:c>
      <x:c r="B75" t="str">
        <x:v>OPEX</x:v>
      </x:c>
      <x:c r="C75" t="str">
        <x:v>质量与合规</x:v>
      </x:c>
      <x:c r="D75" t="str">
        <x:v>质谱、测序、HPLC和核酸酶检测委外</x:v>
      </x:c>
      <x:c r="E75" t="str">
        <x:v>批</x:v>
      </x:c>
      <x:c r="F75" s="51" t="n">
        <x:v>11859.4419</x:v>
      </x:c>
      <x:c r="G75" s="51" t="n">
        <x:v>11527.3775</x:v>
      </x:c>
      <x:c r="H75" s="51" t="n">
        <x:v>12000</x:v>
      </x:c>
      <x:c r="I75" s="51" t="n">
        <x:v>5000</x:v>
      </x:c>
      <x:c r="J75" s="51" t="n">
        <x:v>30000</x:v>
      </x:c>
      <x:c r="K75" s="65" t="n">
        <x:f>IF(F75=0,0,G75/F75-1)</x:f>
        <x:v>-0.028000002259802703</x:v>
      </x:c>
      <x:c r="L75" s="65" t="n">
        <x:f>IF(G75=0,0,H75/G75-1)</x:f>
        <x:v>0.04100000195187503</x:v>
      </x:c>
      <x:c r="M75" s="65" t="n">
        <x:f>IF(H75=0,0,(J75-I75)/H75)</x:f>
        <x:v>2.0833333333333335</x:v>
      </x:c>
      <x:c r="N75" s="60" t="n">
        <x:v>3</x:v>
      </x:c>
      <x:c r="O75" s="60" t="n">
        <x:v>3</x:v>
      </x:c>
      <x:c r="P75" s="60" t="n">
        <x:v>3</x:v>
      </x:c>
      <x:c r="Q75" s="60" t="n">
        <x:f>N75*20%+O75*30%+P75*50%</x:f>
        <x:v>3</x:v>
      </x:c>
      <x:c r="R75" s="12" t="str">
        <x:v>当前公开区间基准；2025按2026年6月PPI同比+4.1%回推，2024按2025上半年PPI-2.8%回推</x:v>
      </x:c>
      <x:c r="S75" s="12" t="str">
        <x:v>SRC-006, SRC-031, SRC-009, SRC-010, SRC-011</x:v>
      </x:c>
    </x:row>
    <x:row r="76">
      <x:c r="A76" t="str">
        <x:v>OPEX-020</x:v>
      </x:c>
      <x:c r="B76" t="str">
        <x:v>OPEX</x:v>
      </x:c>
      <x:c r="C76" t="str">
        <x:v>质量与合规</x:v>
      </x:c>
      <x:c r="D76" t="str">
        <x:v>性能、微生物或专项检测委外</x:v>
      </x:c>
      <x:c r="E76" t="str">
        <x:v>批</x:v>
      </x:c>
      <x:c r="F76" s="51" t="n">
        <x:v>14824.3024</x:v>
      </x:c>
      <x:c r="G76" s="51" t="n">
        <x:v>14409.2219</x:v>
      </x:c>
      <x:c r="H76" s="51" t="n">
        <x:v>15000</x:v>
      </x:c>
      <x:c r="I76" s="51" t="n">
        <x:v>7000</x:v>
      </x:c>
      <x:c r="J76" s="51" t="n">
        <x:v>40000</x:v>
      </x:c>
      <x:c r="K76" s="65" t="n">
        <x:f>IF(F76=0,0,G76/F76-1)</x:f>
        <x:v>-0.02800000221258303</x:v>
      </x:c>
      <x:c r="L76" s="65" t="n">
        <x:f>IF(G76=0,0,H76/G76-1)</x:f>
        <x:v>0.04100000014574001</x:v>
      </x:c>
      <x:c r="M76" s="65" t="n">
        <x:f>IF(H76=0,0,(J76-I76)/H76)</x:f>
        <x:v>2.2</x:v>
      </x:c>
      <x:c r="N76" s="60" t="n">
        <x:v>3</x:v>
      </x:c>
      <x:c r="O76" s="60" t="n">
        <x:v>3</x:v>
      </x:c>
      <x:c r="P76" s="60" t="n">
        <x:v>3</x:v>
      </x:c>
      <x:c r="Q76" s="60" t="n">
        <x:f>N76*20%+O76*30%+P76*50%</x:f>
        <x:v>3</x:v>
      </x:c>
      <x:c r="R76" s="12" t="str">
        <x:v>当前公开区间基准；2025按2026年6月PPI同比+4.1%回推，2024按2025上半年PPI-2.8%回推</x:v>
      </x:c>
      <x:c r="S76" s="12" t="str">
        <x:v>SRC-006, SRC-031, SRC-009, SRC-010, SRC-011</x:v>
      </x:c>
    </x:row>
    <x:row r="77">
      <x:c r="A77" t="str">
        <x:v>OPEX-021</x:v>
      </x:c>
      <x:c r="B77" t="str">
        <x:v>OPEX</x:v>
      </x:c>
      <x:c r="C77" t="str">
        <x:v>EHS</x:v>
      </x:c>
      <x:c r="D77" t="str">
        <x:v>生化、质粒和清洁危废合规处置</x:v>
      </x:c>
      <x:c r="E77" t="str">
        <x:v>年</x:v>
      </x:c>
      <x:c r="F77" s="51" t="n">
        <x:v>98828.6824</x:v>
      </x:c>
      <x:c r="G77" s="51" t="n">
        <x:v>96061.4793</x:v>
      </x:c>
      <x:c r="H77" s="51" t="n">
        <x:v>100000</x:v>
      </x:c>
      <x:c r="I77" s="51" t="n">
        <x:v>50000</x:v>
      </x:c>
      <x:c r="J77" s="51" t="n">
        <x:v>250000</x:v>
      </x:c>
      <x:c r="K77" s="65" t="n">
        <x:f>IF(F77=0,0,G77/F77-1)</x:f>
        <x:v>-0.027999999927146635</x:v>
      </x:c>
      <x:c r="L77" s="65" t="n">
        <x:f>IF(G77=0,0,H77/G77-1)</x:f>
        <x:v>0.04100000050696684</x:v>
      </x:c>
      <x:c r="M77" s="65" t="n">
        <x:f>IF(H77=0,0,(J77-I77)/H77)</x:f>
        <x:v>2</x:v>
      </x:c>
      <x:c r="N77" s="60" t="n">
        <x:v>2</x:v>
      </x:c>
      <x:c r="O77" s="60" t="n">
        <x:v>2</x:v>
      </x:c>
      <x:c r="P77" s="60" t="n">
        <x:v>2</x:v>
      </x:c>
      <x:c r="Q77" s="60" t="n">
        <x:f>N77*20%+O77*30%+P77*50%</x:f>
        <x:v>2</x:v>
      </x:c>
      <x:c r="R77" s="12" t="str">
        <x:v>当前公开区间基准；2025按2026年6月PPI同比+4.1%回推，2024按2025上半年PPI-2.8%回推</x:v>
      </x:c>
      <x:c r="S77" s="12" t="str">
        <x:v>SRC-031, SRC-009, SRC-010, SRC-011</x:v>
      </x:c>
    </x:row>
    <x:row r="78">
      <x:c r="A78" t="str">
        <x:v>OPEX-022</x:v>
      </x:c>
      <x:c r="B78" t="str">
        <x:v>OPEX</x:v>
      </x:c>
      <x:c r="C78" t="str">
        <x:v>物流</x:v>
      </x:c>
      <x:c r="D78" t="str">
        <x:v>原料入厂和成品出库冷链物流</x:v>
      </x:c>
      <x:c r="E78" t="str">
        <x:v>盒</x:v>
      </x:c>
      <x:c r="F78" s="51" t="n">
        <x:v>3.4591</x:v>
      </x:c>
      <x:c r="G78" s="51" t="n">
        <x:v>3.3622</x:v>
      </x:c>
      <x:c r="H78" s="51" t="n">
        <x:v>3.5</x:v>
      </x:c>
      <x:c r="I78" s="51" t="n">
        <x:v>1.5</x:v>
      </x:c>
      <x:c r="J78" s="51" t="n">
        <x:v>8</x:v>
      </x:c>
      <x:c r="K78" s="65" t="n">
        <x:f>IF(F78=0,0,G78/F78-1)</x:f>
        <x:v>-0.028013066982741086</x:v>
      </x:c>
      <x:c r="L78" s="65" t="n">
        <x:f>IF(G78=0,0,H78/G78-1)</x:f>
        <x:v>0.04098506929986323</x:v>
      </x:c>
      <x:c r="M78" s="65" t="n">
        <x:f>IF(H78=0,0,(J78-I78)/H78)</x:f>
        <x:v>1.8571428571428572</x:v>
      </x:c>
      <x:c r="N78" s="60" t="n">
        <x:v>3</x:v>
      </x:c>
      <x:c r="O78" s="60" t="n">
        <x:v>3</x:v>
      </x:c>
      <x:c r="P78" s="60" t="n">
        <x:v>3</x:v>
      </x:c>
      <x:c r="Q78" s="60" t="n">
        <x:f>N78*20%+O78*30%+P78*50%</x:f>
        <x:v>3</x:v>
      </x:c>
      <x:c r="R78" s="12" t="str">
        <x:v>当前公开区间基准；2025按2026年6月PPI同比+4.1%回推，2024按2025上半年PPI-2.8%回推</x:v>
      </x:c>
      <x:c r="S78" s="12" t="str">
        <x:v>SRC-028, SRC-009, SRC-010, SRC-011</x:v>
      </x:c>
    </x:row>
    <x:row r="79">
      <x:c r="A79" t="str">
        <x:v>OPEX-023</x:v>
      </x:c>
      <x:c r="B79" t="str">
        <x:v>OPEX</x:v>
      </x:c>
      <x:c r="C79" t="str">
        <x:v>信息化</x:v>
      </x:c>
      <x:c r="D79" t="str">
        <x:v>MES/LIMS/备份/安全年度服务</x:v>
      </x:c>
      <x:c r="E79" t="str">
        <x:v>年</x:v>
      </x:c>
      <x:c r="F79" s="51" t="n">
        <x:v>177891.6284</x:v>
      </x:c>
      <x:c r="G79" s="51" t="n">
        <x:v>172910.6628</x:v>
      </x:c>
      <x:c r="H79" s="51" t="n">
        <x:v>180000</x:v>
      </x:c>
      <x:c r="I79" s="51" t="n">
        <x:v>80000</x:v>
      </x:c>
      <x:c r="J79" s="51" t="n">
        <x:v>400000</x:v>
      </x:c>
      <x:c r="K79" s="65" t="n">
        <x:f>IF(F79=0,0,G79/F79-1)</x:f>
        <x:v>-0.028000000026982663</x:v>
      </x:c>
      <x:c r="L79" s="65" t="n">
        <x:f>IF(G79=0,0,H79/G79-1)</x:f>
        <x:v>0.04100000014574001</x:v>
      </x:c>
      <x:c r="M79" s="65" t="n">
        <x:f>IF(H79=0,0,(J79-I79)/H79)</x:f>
        <x:v>1.7777777777777777</x:v>
      </x:c>
      <x:c r="N79" s="60" t="n">
        <x:v>2</x:v>
      </x:c>
      <x:c r="O79" s="60" t="n">
        <x:v>2</x:v>
      </x:c>
      <x:c r="P79" s="60" t="n">
        <x:v>2</x:v>
      </x:c>
      <x:c r="Q79" s="60" t="n">
        <x:f>N79*20%+O79*30%+P79*50%</x:f>
        <x:v>2</x:v>
      </x:c>
      <x:c r="R79" s="12" t="str">
        <x:v>当前公开区间基准；2025按2026年6月PPI同比+4.1%回推，2024按2025上半年PPI-2.8%回推</x:v>
      </x:c>
      <x:c r="S79" s="12" t="str">
        <x:v>SRC-031, SRC-009, SRC-010, SRC-011</x:v>
      </x:c>
    </x:row>
    <x:row r="80">
      <x:c r="A80" t="str">
        <x:v>OPEX-024</x:v>
      </x:c>
      <x:c r="B80" t="str">
        <x:v>OPEX</x:v>
      </x:c>
      <x:c r="C80" t="str">
        <x:v>质量与合规</x:v>
      </x:c>
      <x:c r="D80" t="str">
        <x:v>质量体系、供应商和客户审计</x:v>
      </x:c>
      <x:c r="E80" t="str">
        <x:v>年</x:v>
      </x:c>
      <x:c r="F80" s="51" t="n">
        <x:v>148243.0237</x:v>
      </x:c>
      <x:c r="G80" s="51" t="n">
        <x:v>144092.219</x:v>
      </x:c>
      <x:c r="H80" s="51" t="n">
        <x:v>150000</x:v>
      </x:c>
      <x:c r="I80" s="51" t="n">
        <x:v>70000</x:v>
      </x:c>
      <x:c r="J80" s="51" t="n">
        <x:v>350000</x:v>
      </x:c>
      <x:c r="K80" s="65" t="n">
        <x:f>IF(F80=0,0,G80/F80-1)</x:f>
        <x:v>-0.02800000024554261</x:v>
      </x:c>
      <x:c r="L80" s="65" t="n">
        <x:f>IF(G80=0,0,H80/G80-1)</x:f>
        <x:v>0.04100000014574001</x:v>
      </x:c>
      <x:c r="M80" s="65" t="n">
        <x:f>IF(H80=0,0,(J80-I80)/H80)</x:f>
        <x:v>1.8666666666666667</x:v>
      </x:c>
      <x:c r="N80" s="60" t="n">
        <x:v>2</x:v>
      </x:c>
      <x:c r="O80" s="60" t="n">
        <x:v>2</x:v>
      </x:c>
      <x:c r="P80" s="60" t="n">
        <x:v>2</x:v>
      </x:c>
      <x:c r="Q80" s="60" t="n">
        <x:f>N80*20%+O80*30%+P80*50%</x:f>
        <x:v>2</x:v>
      </x:c>
      <x:c r="R80" s="12" t="str">
        <x:v>当前公开区间基准；2025按2026年6月PPI同比+4.1%回推，2024按2025上半年PPI-2.8%回推</x:v>
      </x:c>
      <x:c r="S80" s="12" t="str">
        <x:v>SRC-031, SRC-009, SRC-010, SRC-011</x:v>
      </x:c>
    </x:row>
    <x:row r="81">
      <x:c r="A81" t="str">
        <x:v>OPEX-025</x:v>
      </x:c>
      <x:c r="B81" t="str">
        <x:v>OPEX</x:v>
      </x:c>
      <x:c r="C81" t="str">
        <x:v>人员</x:v>
      </x:c>
      <x:c r="D81" t="str">
        <x:v>GMP、EHS、岗位和设备培训</x:v>
      </x:c>
      <x:c r="E81" t="str">
        <x:v>FTE·年</x:v>
      </x:c>
      <x:c r="F81" s="51" t="n">
        <x:v>2964.8605</x:v>
      </x:c>
      <x:c r="G81" s="51" t="n">
        <x:v>2881.8444</x:v>
      </x:c>
      <x:c r="H81" s="51" t="n">
        <x:v>3000</x:v>
      </x:c>
      <x:c r="I81" s="51" t="n">
        <x:v>1500</x:v>
      </x:c>
      <x:c r="J81" s="51" t="n">
        <x:v>6000</x:v>
      </x:c>
      <x:c r="K81" s="65" t="n">
        <x:f>IF(F81=0,0,G81/F81-1)</x:f>
        <x:v>-0.028000002023703896</x:v>
      </x:c>
      <x:c r="L81" s="65" t="n">
        <x:f>IF(G81=0,0,H81/G81-1)</x:f>
        <x:v>0.04099999292120016</x:v>
      </x:c>
      <x:c r="M81" s="65" t="n">
        <x:f>IF(H81=0,0,(J81-I81)/H81)</x:f>
        <x:v>1.5</x:v>
      </x:c>
      <x:c r="N81" s="60" t="n">
        <x:v>3</x:v>
      </x:c>
      <x:c r="O81" s="60" t="n">
        <x:v>3</x:v>
      </x:c>
      <x:c r="P81" s="60" t="n">
        <x:v>3</x:v>
      </x:c>
      <x:c r="Q81" s="60" t="n">
        <x:f>N81*20%+O81*30%+P81*50%</x:f>
        <x:v>3</x:v>
      </x:c>
      <x:c r="R81" s="12" t="str">
        <x:v>当前公开区间基准；2025按2026年6月PPI同比+4.1%回推，2024按2025上半年PPI-2.8%回推</x:v>
      </x:c>
      <x:c r="S81" s="12" t="str">
        <x:v>SRC-031, SRC-009, SRC-010, SRC-011</x:v>
      </x:c>
    </x:row>
    <x:row r="82">
      <x:c r="A82" t="str">
        <x:v>OPEX-026</x:v>
      </x:c>
      <x:c r="B82" t="str">
        <x:v>OPEX</x:v>
      </x:c>
      <x:c r="C82" t="str">
        <x:v>公司保障</x:v>
      </x:c>
      <x:c r="D82" t="str">
        <x:v>财产、责任、雇主和货运保险</x:v>
      </x:c>
      <x:c r="E82" t="str">
        <x:v>年</x:v>
      </x:c>
      <x:c r="F82" s="51" t="n">
        <x:v>148243.0237</x:v>
      </x:c>
      <x:c r="G82" s="51" t="n">
        <x:v>144092.219</x:v>
      </x:c>
      <x:c r="H82" s="51" t="n">
        <x:v>150000</x:v>
      </x:c>
      <x:c r="I82" s="51" t="n">
        <x:v>70000</x:v>
      </x:c>
      <x:c r="J82" s="51" t="n">
        <x:v>350000</x:v>
      </x:c>
      <x:c r="K82" s="65" t="n">
        <x:f>IF(F82=0,0,G82/F82-1)</x:f>
        <x:v>-0.02800000024554261</x:v>
      </x:c>
      <x:c r="L82" s="65" t="n">
        <x:f>IF(G82=0,0,H82/G82-1)</x:f>
        <x:v>0.04100000014574001</x:v>
      </x:c>
      <x:c r="M82" s="65" t="n">
        <x:f>IF(H82=0,0,(J82-I82)/H82)</x:f>
        <x:v>1.8666666666666667</x:v>
      </x:c>
      <x:c r="N82" s="60" t="n">
        <x:v>2</x:v>
      </x:c>
      <x:c r="O82" s="60" t="n">
        <x:v>2</x:v>
      </x:c>
      <x:c r="P82" s="60" t="n">
        <x:v>2</x:v>
      </x:c>
      <x:c r="Q82" s="60" t="n">
        <x:f>N82*20%+O82*30%+P82*50%</x:f>
        <x:v>2</x:v>
      </x:c>
      <x:c r="R82" s="12" t="str">
        <x:v>当前公开区间基准；2025按2026年6月PPI同比+4.1%回推，2024按2025上半年PPI-2.8%回推</x:v>
      </x:c>
      <x:c r="S82" s="12" t="str">
        <x:v>SRC-031, SRC-009, SRC-010, SRC-011</x:v>
      </x:c>
    </x:row>
    <x:row r="83">
      <x:c r="A83" t="str">
        <x:v>OPEX-027</x:v>
      </x:c>
      <x:c r="B83" t="str">
        <x:v>OPEX</x:v>
      </x:c>
      <x:c r="C83" t="str">
        <x:v>质量与合规</x:v>
      </x:c>
      <x:c r="D83" t="str">
        <x:v>稳定性研究、留样和复测</x:v>
      </x:c>
      <x:c r="E83" t="str">
        <x:v>批</x:v>
      </x:c>
      <x:c r="F83" s="51" t="n">
        <x:v>11859.4419</x:v>
      </x:c>
      <x:c r="G83" s="51" t="n">
        <x:v>11527.3775</x:v>
      </x:c>
      <x:c r="H83" s="51" t="n">
        <x:v>12000</x:v>
      </x:c>
      <x:c r="I83" s="51" t="n">
        <x:v>5000</x:v>
      </x:c>
      <x:c r="J83" s="51" t="n">
        <x:v>30000</x:v>
      </x:c>
      <x:c r="K83" s="65" t="n">
        <x:f>IF(F83=0,0,G83/F83-1)</x:f>
        <x:v>-0.028000002259802703</x:v>
      </x:c>
      <x:c r="L83" s="65" t="n">
        <x:f>IF(G83=0,0,H83/G83-1)</x:f>
        <x:v>0.04100000195187503</x:v>
      </x:c>
      <x:c r="M83" s="65" t="n">
        <x:f>IF(H83=0,0,(J83-I83)/H83)</x:f>
        <x:v>2.0833333333333335</x:v>
      </x:c>
      <x:c r="N83" s="60" t="n">
        <x:v>2</x:v>
      </x:c>
      <x:c r="O83" s="60" t="n">
        <x:v>2</x:v>
      </x:c>
      <x:c r="P83" s="60" t="n">
        <x:v>2</x:v>
      </x:c>
      <x:c r="Q83" s="60" t="n">
        <x:f>N83*20%+O83*30%+P83*50%</x:f>
        <x:v>2</x:v>
      </x:c>
      <x:c r="R83" s="12" t="str">
        <x:v>当前公开区间基准；2025按2026年6月PPI同比+4.1%回推，2024按2025上半年PPI-2.8%回推</x:v>
      </x:c>
      <x:c r="S83" s="12" t="str">
        <x:v>SRC-031, SRC-009, SRC-010, SRC-011</x:v>
      </x:c>
    </x:row>
    <x:row r="84">
      <x:c r="A84" t="str">
        <x:v>OPEX-028</x:v>
      </x:c>
      <x:c r="B84" t="str">
        <x:v>OPEX</x:v>
      </x:c>
      <x:c r="C84" t="str">
        <x:v>质量与合规</x:v>
      </x:c>
      <x:c r="D84" t="str">
        <x:v>工艺确认、持续验证和变更验证</x:v>
      </x:c>
      <x:c r="E84" t="str">
        <x:v>年</x:v>
      </x:c>
      <x:c r="F84" s="51" t="n">
        <x:v>494143.4122</x:v>
      </x:c>
      <x:c r="G84" s="51" t="n">
        <x:v>480307.3967</x:v>
      </x:c>
      <x:c r="H84" s="51" t="n">
        <x:v>500000</x:v>
      </x:c>
      <x:c r="I84" s="51" t="n">
        <x:v>250000</x:v>
      </x:c>
      <x:c r="J84" s="51" t="n">
        <x:v>1200000</x:v>
      </x:c>
      <x:c r="K84" s="65" t="n">
        <x:f>IF(F84=0,0,G84/F84-1)</x:f>
        <x:v>-0.027999999915814033</x:v>
      </x:c>
      <x:c r="L84" s="65" t="n">
        <x:f>IF(G84=0,0,H84/G84-1)</x:f>
        <x:v>0.04100000007349469</x:v>
      </x:c>
      <x:c r="M84" s="65" t="n">
        <x:f>IF(H84=0,0,(J84-I84)/H84)</x:f>
        <x:v>1.9</x:v>
      </x:c>
      <x:c r="N84" s="60" t="n">
        <x:v>2</x:v>
      </x:c>
      <x:c r="O84" s="60" t="n">
        <x:v>2</x:v>
      </x:c>
      <x:c r="P84" s="60" t="n">
        <x:v>2</x:v>
      </x:c>
      <x:c r="Q84" s="60" t="n">
        <x:f>N84*20%+O84*30%+P84*50%</x:f>
        <x:v>2</x:v>
      </x:c>
      <x:c r="R84" s="12" t="str">
        <x:v>当前公开区间基准；2025按2026年6月PPI同比+4.1%回推，2024按2025上半年PPI-2.8%回推</x:v>
      </x:c>
      <x:c r="S84" s="12" t="str">
        <x:v>SRC-031, SRC-009, SRC-010, SRC-011</x:v>
      </x:c>
    </x:row>
    <x:row r="85">
      <x:c r="A85" t="str">
        <x:v>OPEX-029</x:v>
      </x:c>
      <x:c r="B85" t="str">
        <x:v>OPEX</x:v>
      </x:c>
      <x:c r="C85" t="str">
        <x:v>卫生与清洁</x:v>
      </x:c>
      <x:c r="D85" t="str">
        <x:v>洁净区清洁、消毒和虫害控制服务</x:v>
      </x:c>
      <x:c r="E85" t="str">
        <x:v>年</x:v>
      </x:c>
      <x:c r="F85" s="51" t="n">
        <x:v>118594.4189</x:v>
      </x:c>
      <x:c r="G85" s="51" t="n">
        <x:v>115273.7752</x:v>
      </x:c>
      <x:c r="H85" s="51" t="n">
        <x:v>120000</x:v>
      </x:c>
      <x:c r="I85" s="51" t="n">
        <x:v>60000</x:v>
      </x:c>
      <x:c r="J85" s="51" t="n">
        <x:v>300000</x:v>
      </x:c>
      <x:c r="K85" s="65" t="n">
        <x:f>IF(F85=0,0,G85/F85-1)</x:f>
        <x:v>-0.027999999753782645</x:v>
      </x:c>
      <x:c r="L85" s="65" t="n">
        <x:f>IF(G85=0,0,H85/G85-1)</x:f>
        <x:v>0.04100000014574001</x:v>
      </x:c>
      <x:c r="M85" s="65" t="n">
        <x:f>IF(H85=0,0,(J85-I85)/H85)</x:f>
        <x:v>2</x:v>
      </x:c>
      <x:c r="N85" s="60" t="n">
        <x:v>2</x:v>
      </x:c>
      <x:c r="O85" s="60" t="n">
        <x:v>2</x:v>
      </x:c>
      <x:c r="P85" s="60" t="n">
        <x:v>2</x:v>
      </x:c>
      <x:c r="Q85" s="60" t="n">
        <x:f>N85*20%+O85*30%+P85*50%</x:f>
        <x:v>2</x:v>
      </x:c>
      <x:c r="R85" s="12" t="str">
        <x:v>当前公开区间基准；2025按2026年6月PPI同比+4.1%回推，2024按2025上半年PPI-2.8%回推</x:v>
      </x:c>
      <x:c r="S85" s="12" t="str">
        <x:v>SRC-031, SRC-009, SRC-010, SRC-011</x:v>
      </x:c>
    </x:row>
    <x:row r="86">
      <x:c r="A86" t="str">
        <x:v>OPEX-030</x:v>
      </x:c>
      <x:c r="B86" t="str">
        <x:v>OPEX</x:v>
      </x:c>
      <x:c r="C86" t="str">
        <x:v>行政</x:v>
      </x:c>
      <x:c r="D86" t="str">
        <x:v>办公耗材、通信、差旅和日常行政</x:v>
      </x:c>
      <x:c r="E86" t="str">
        <x:v>年</x:v>
      </x:c>
      <x:c r="F86" s="51" t="n">
        <x:v>148243.0237</x:v>
      </x:c>
      <x:c r="G86" s="51" t="n">
        <x:v>144092.219</x:v>
      </x:c>
      <x:c r="H86" s="51" t="n">
        <x:v>150000</x:v>
      </x:c>
      <x:c r="I86" s="51" t="n">
        <x:v>70000</x:v>
      </x:c>
      <x:c r="J86" s="51" t="n">
        <x:v>300000</x:v>
      </x:c>
      <x:c r="K86" s="65" t="n">
        <x:f>IF(F86=0,0,G86/F86-1)</x:f>
        <x:v>-0.02800000024554261</x:v>
      </x:c>
      <x:c r="L86" s="65" t="n">
        <x:f>IF(G86=0,0,H86/G86-1)</x:f>
        <x:v>0.04100000014574001</x:v>
      </x:c>
      <x:c r="M86" s="65" t="n">
        <x:f>IF(H86=0,0,(J86-I86)/H86)</x:f>
        <x:v>1.5333333333333334</x:v>
      </x:c>
      <x:c r="N86" s="60" t="n">
        <x:v>2</x:v>
      </x:c>
      <x:c r="O86" s="60" t="n">
        <x:v>2</x:v>
      </x:c>
      <x:c r="P86" s="60" t="n">
        <x:v>2</x:v>
      </x:c>
      <x:c r="Q86" s="60" t="n">
        <x:f>N86*20%+O86*30%+P86*50%</x:f>
        <x:v>2</x:v>
      </x:c>
      <x:c r="R86" s="12" t="str">
        <x:v>当前公开区间基准；2025按2026年6月PPI同比+4.1%回推，2024按2025上半年PPI-2.8%回推</x:v>
      </x:c>
      <x:c r="S86" s="12" t="str">
        <x:v>SRC-031, SRC-009, SRC-010, SRC-011</x:v>
      </x:c>
    </x:row>
    <x:row r="87">
      <x:c r="A87" t="str">
        <x:v>OPEX-031</x:v>
      </x:c>
      <x:c r="B87" t="str">
        <x:v>OPEX</x:v>
      </x:c>
      <x:c r="C87" t="str">
        <x:v>风险准备</x:v>
      </x:c>
      <x:c r="D87" t="str">
        <x:v>批次报废、偏差调查和召回演练准备</x:v>
      </x:c>
      <x:c r="E87" t="str">
        <x:v>年</x:v>
      </x:c>
      <x:c r="F87" s="51" t="n">
        <x:v>296486.0473</x:v>
      </x:c>
      <x:c r="G87" s="51" t="n">
        <x:v>288184.438</x:v>
      </x:c>
      <x:c r="H87" s="51" t="n">
        <x:v>300000</x:v>
      </x:c>
      <x:c r="I87" s="51" t="n">
        <x:v>150000</x:v>
      </x:c>
      <x:c r="J87" s="51" t="n">
        <x:v>800000</x:v>
      </x:c>
      <x:c r="K87" s="65" t="n">
        <x:f>IF(F87=0,0,G87/F87-1)</x:f>
        <x:v>-0.027999999917702523</x:v>
      </x:c>
      <x:c r="L87" s="65" t="n">
        <x:f>IF(G87=0,0,H87/G87-1)</x:f>
        <x:v>0.04100000014574001</x:v>
      </x:c>
      <x:c r="M87" s="65" t="n">
        <x:f>IF(H87=0,0,(J87-I87)/H87)</x:f>
        <x:v>2.1666666666666665</x:v>
      </x:c>
      <x:c r="N87" s="60" t="n">
        <x:v>1</x:v>
      </x:c>
      <x:c r="O87" s="60" t="n">
        <x:v>1</x:v>
      </x:c>
      <x:c r="P87" s="60" t="n">
        <x:v>1</x:v>
      </x:c>
      <x:c r="Q87" s="60" t="n">
        <x:f>N87*20%+O87*30%+P87*50%</x:f>
        <x:v>1</x:v>
      </x:c>
      <x:c r="R87" s="12" t="str">
        <x:v>当前公开区间基准；2025按2026年6月PPI同比+4.1%回推，2024按2025上半年PPI-2.8%回推</x:v>
      </x:c>
      <x:c r="S87" s="12" t="str">
        <x:v>SRC-031, SRC-009, SRC-010, SRC-011</x:v>
      </x:c>
    </x:row>
    <x:row r="88">
      <x:c r="A88" t="str">
        <x:v>BOM-001</x:v>
      </x:c>
      <x:c r="B88" t="str">
        <x:v>BOM</x:v>
      </x:c>
      <x:c r="C88" t="str">
        <x:v>寡核苷酸</x:v>
      </x:c>
      <x:c r="D88" t="str">
        <x:v>正向PCR引物（21 nt，无修饰）</x:v>
      </x:c>
      <x:c r="E88" t="str">
        <x:v>10 OD等效批</x:v>
      </x:c>
      <x:c r="F88" s="51" t="n">
        <x:v>180</x:v>
      </x:c>
      <x:c r="G88" s="51" t="n">
        <x:v>180</x:v>
      </x:c>
      <x:c r="H88" s="51" t="n">
        <x:v>180</x:v>
      </x:c>
      <x:c r="I88" s="51" t="n">
        <x:v>120</x:v>
      </x:c>
      <x:c r="J88" s="51" t="n">
        <x:v>350</x:v>
      </x:c>
      <x:c r="K88" s="65" t="n">
        <x:f>IF(F88=0,0,G88/F88-1)</x:f>
        <x:v>0</x:v>
      </x:c>
      <x:c r="L88" s="65" t="n">
        <x:f>IF(G88=0,0,H88/G88-1)</x:f>
        <x:v>0</x:v>
      </x:c>
      <x:c r="M88" s="65" t="n">
        <x:f>IF(H88=0,0,(J88-I88)/H88)</x:f>
        <x:v>1.2777777777777777</x:v>
      </x:c>
      <x:c r="N88" s="60" t="n">
        <x:v>2</x:v>
      </x:c>
      <x:c r="O88" s="60" t="n">
        <x:v>2</x:v>
      </x:c>
      <x:c r="P88" s="60" t="n">
        <x:v>3</x:v>
      </x:c>
      <x:c r="Q88" s="60" t="n">
        <x:f>N88*20%+O88*30%+P88*50%</x:f>
        <x:v>2.5</x:v>
      </x:c>
      <x:c r="R88" s="12" t="str">
        <x:v>普通寡核苷酸公开低价与厂商合成页面仅作锚点；2024/2025沿用当前10 OD代理，不用宏观PPI机械回推具体序列</x:v>
      </x:c>
      <x:c r="S88" s="12" t="str">
        <x:v>SRC-001, SRC-002, SRC-003, SRC-032, SRC-034, SRC-036</x:v>
      </x:c>
    </x:row>
    <x:row r="89">
      <x:c r="A89" t="str">
        <x:v>BOM-002</x:v>
      </x:c>
      <x:c r="B89" t="str">
        <x:v>BOM</x:v>
      </x:c>
      <x:c r="C89" t="str">
        <x:v>寡核苷酸</x:v>
      </x:c>
      <x:c r="D89" t="str">
        <x:v>反向PCR引物（20 nt，无修饰）</x:v>
      </x:c>
      <x:c r="E89" t="str">
        <x:v>10 OD等效批</x:v>
      </x:c>
      <x:c r="F89" s="51" t="n">
        <x:v>180</x:v>
      </x:c>
      <x:c r="G89" s="51" t="n">
        <x:v>180</x:v>
      </x:c>
      <x:c r="H89" s="51" t="n">
        <x:v>180</x:v>
      </x:c>
      <x:c r="I89" s="51" t="n">
        <x:v>120</x:v>
      </x:c>
      <x:c r="J89" s="51" t="n">
        <x:v>350</x:v>
      </x:c>
      <x:c r="K89" s="65" t="n">
        <x:f>IF(F89=0,0,G89/F89-1)</x:f>
        <x:v>0</x:v>
      </x:c>
      <x:c r="L89" s="65" t="n">
        <x:f>IF(G89=0,0,H89/G89-1)</x:f>
        <x:v>0</x:v>
      </x:c>
      <x:c r="M89" s="65" t="n">
        <x:f>IF(H89=0,0,(J89-I89)/H89)</x:f>
        <x:v>1.2777777777777777</x:v>
      </x:c>
      <x:c r="N89" s="60" t="n">
        <x:v>2</x:v>
      </x:c>
      <x:c r="O89" s="60" t="n">
        <x:v>2</x:v>
      </x:c>
      <x:c r="P89" s="60" t="n">
        <x:v>3</x:v>
      </x:c>
      <x:c r="Q89" s="60" t="n">
        <x:f>N89*20%+O89*30%+P89*50%</x:f>
        <x:v>2.5</x:v>
      </x:c>
      <x:c r="R89" s="12" t="str">
        <x:v>普通寡核苷酸公开低价与厂商合成页面仅作锚点；2024/2025沿用当前10 OD代理，不用宏观PPI机械回推具体序列</x:v>
      </x:c>
      <x:c r="S89" s="12" t="str">
        <x:v>SRC-001, SRC-002, SRC-003, SRC-032, SRC-034, SRC-036</x:v>
      </x:c>
    </x:row>
    <x:row r="90">
      <x:c r="A90" t="str">
        <x:v>BOM-003</x:v>
      </x:c>
      <x:c r="B90" t="str">
        <x:v>BOM</x:v>
      </x:c>
      <x:c r="C90" t="str">
        <x:v>寡核苷酸</x:v>
      </x:c>
      <x:c r="D90" t="str">
        <x:v>P链（5′BHQ2/3′BHQ1，17 nt）</x:v>
      </x:c>
      <x:c r="E90" t="str">
        <x:v>10 OD等效批</x:v>
      </x:c>
      <x:c r="F90" s="51" t="n">
        <x:v>1800</x:v>
      </x:c>
      <x:c r="G90" s="51" t="n">
        <x:v>1800</x:v>
      </x:c>
      <x:c r="H90" s="51" t="n">
        <x:v>1800</x:v>
      </x:c>
      <x:c r="I90" s="51" t="n">
        <x:v>1400</x:v>
      </x:c>
      <x:c r="J90" s="51" t="n">
        <x:v>2600</x:v>
      </x:c>
      <x:c r="K90" s="65" t="n">
        <x:f>IF(F90=0,0,G90/F90-1)</x:f>
        <x:v>0</x:v>
      </x:c>
      <x:c r="L90" s="65" t="n">
        <x:f>IF(G90=0,0,H90/G90-1)</x:f>
        <x:v>0</x:v>
      </x:c>
      <x:c r="M90" s="65" t="n">
        <x:f>IF(H90=0,0,(J90-I90)/H90)</x:f>
        <x:v>0.6666666666666666</x:v>
      </x:c>
      <x:c r="N90" s="60" t="n">
        <x:v>2</x:v>
      </x:c>
      <x:c r="O90" s="60" t="n">
        <x:v>2</x:v>
      </x:c>
      <x:c r="P90" s="60" t="n">
        <x:v>3</x:v>
      </x:c>
      <x:c r="Q90" s="60" t="n">
        <x:f>N90*20%+O90*30%+P90*50%</x:f>
        <x:v>2.5</x:v>
      </x:c>
      <x:c r="R90" s="12" t="str">
        <x:v>页面未标有效期；2024/2025沿用当前10 OD等效预算代理；Thermo/GenScript均无最终双BH​​Q精确组合价</x:v>
      </x:c>
      <x:c r="S90" s="12" t="str">
        <x:v>SRC-001, SRC-002, SRC-003, SRC-032, SRC-033, SRC-034, SRC-035, SRC-036</x:v>
      </x:c>
    </x:row>
    <x:row r="91">
      <x:c r="A91" t="str">
        <x:v>BOM-004</x:v>
      </x:c>
      <x:c r="B91" t="str">
        <x:v>BOM</x:v>
      </x:c>
      <x:c r="C91" t="str">
        <x:v>寡核苷酸</x:v>
      </x:c>
      <x:c r="D91" t="str">
        <x:v>C链（5′ROX/3′FAM，22 nt）</x:v>
      </x:c>
      <x:c r="E91" t="str">
        <x:v>10 OD等效批</x:v>
      </x:c>
      <x:c r="F91" s="51" t="n">
        <x:v>1500</x:v>
      </x:c>
      <x:c r="G91" s="51" t="n">
        <x:v>1500</x:v>
      </x:c>
      <x:c r="H91" s="51" t="n">
        <x:v>1500</x:v>
      </x:c>
      <x:c r="I91" s="51" t="n">
        <x:v>1000</x:v>
      </x:c>
      <x:c r="J91" s="51" t="n">
        <x:v>2200</x:v>
      </x:c>
      <x:c r="K91" s="65" t="n">
        <x:f>IF(F91=0,0,G91/F91-1)</x:f>
        <x:v>0</x:v>
      </x:c>
      <x:c r="L91" s="65" t="n">
        <x:f>IF(G91=0,0,H91/G91-1)</x:f>
        <x:v>0</x:v>
      </x:c>
      <x:c r="M91" s="65" t="n">
        <x:f>IF(H91=0,0,(J91-I91)/H91)</x:f>
        <x:v>0.8</x:v>
      </x:c>
      <x:c r="N91" s="60" t="n">
        <x:v>2</x:v>
      </x:c>
      <x:c r="O91" s="60" t="n">
        <x:v>2</x:v>
      </x:c>
      <x:c r="P91" s="60" t="n">
        <x:v>3</x:v>
      </x:c>
      <x:c r="Q91" s="60" t="n">
        <x:f>N91*20%+O91*30%+P91*50%</x:f>
        <x:v>2.5</x:v>
      </x:c>
      <x:c r="R91" s="12" t="str">
        <x:v>页面未标有效期；2024/2025沿用当前10 OD等效预算代理；最终5′ROX/3′FAM无精确组合价</x:v>
      </x:c>
      <x:c r="S91" s="12" t="str">
        <x:v>SRC-001, SRC-002, SRC-003, SRC-032, SRC-033, SRC-034, SRC-035, SRC-036</x:v>
      </x:c>
    </x:row>
    <x:row r="92">
      <x:c r="A92" t="str">
        <x:v>BOM-005</x:v>
      </x:c>
      <x:c r="B92" t="str">
        <x:v>BOM</x:v>
      </x:c>
      <x:c r="C92" t="str">
        <x:v>寡核苷酸</x:v>
      </x:c>
      <x:c r="D92" t="str">
        <x:v>F链（5′BHQ2，17 nt）</x:v>
      </x:c>
      <x:c r="E92" t="str">
        <x:v>10 OD等效批</x:v>
      </x:c>
      <x:c r="F92" s="51" t="n">
        <x:v>900</x:v>
      </x:c>
      <x:c r="G92" s="51" t="n">
        <x:v>900</x:v>
      </x:c>
      <x:c r="H92" s="51" t="n">
        <x:v>900</x:v>
      </x:c>
      <x:c r="I92" s="51" t="n">
        <x:v>700</x:v>
      </x:c>
      <x:c r="J92" s="51" t="n">
        <x:v>1400</x:v>
      </x:c>
      <x:c r="K92" s="65" t="n">
        <x:f>IF(F92=0,0,G92/F92-1)</x:f>
        <x:v>0</x:v>
      </x:c>
      <x:c r="L92" s="65" t="n">
        <x:f>IF(G92=0,0,H92/G92-1)</x:f>
        <x:v>0</x:v>
      </x:c>
      <x:c r="M92" s="65" t="n">
        <x:f>IF(H92=0,0,(J92-I92)/H92)</x:f>
        <x:v>0.7777777777777778</x:v>
      </x:c>
      <x:c r="N92" s="60" t="n">
        <x:v>2</x:v>
      </x:c>
      <x:c r="O92" s="60" t="n">
        <x:v>2</x:v>
      </x:c>
      <x:c r="P92" s="60" t="n">
        <x:v>3</x:v>
      </x:c>
      <x:c r="Q92" s="60" t="n">
        <x:f>N92*20%+O92*30%+P92*50%</x:f>
        <x:v>2.5</x:v>
      </x:c>
      <x:c r="R92" s="12" t="str">
        <x:v>页面未标有效期；2024/2025沿用当前10 OD等效预算代理；最终5′BHQ2无精确组合价</x:v>
      </x:c>
      <x:c r="S92" s="12" t="str">
        <x:v>SRC-001, SRC-002, SRC-003, SRC-032, SRC-033, SRC-034, SRC-035, SRC-036</x:v>
      </x:c>
    </x:row>
    <x:row r="93">
      <x:c r="A93" t="str">
        <x:v>BOM-006</x:v>
      </x:c>
      <x:c r="B93" t="str">
        <x:v>BOM</x:v>
      </x:c>
      <x:c r="C93" t="str">
        <x:v>废止占位</x:v>
      </x:c>
      <x:c r="D93" t="str">
        <x:v>旧竞争C/封闭C拆分占位（废止）</x:v>
      </x:c>
      <x:c r="E93" t="str">
        <x:v>10 OD等效批</x:v>
      </x:c>
      <x:c r="F93" s="51" t="n">
        <x:v>0</x:v>
      </x:c>
      <x:c r="G93" s="51" t="n">
        <x:v>0</x:v>
      </x:c>
      <x:c r="H93" s="51" t="n">
        <x:v>0</x:v>
      </x:c>
      <x:c r="I93" s="51" t="n">
        <x:v>0</x:v>
      </x:c>
      <x:c r="J93" s="51" t="n">
        <x:v>0</x:v>
      </x:c>
      <x:c r="K93" s="65" t="n">
        <x:f>IF(F93=0,0,G93/F93-1)</x:f>
        <x:v>0</x:v>
      </x:c>
      <x:c r="L93" s="65" t="n">
        <x:f>IF(G93=0,0,H93/G93-1)</x:f>
        <x:v>0</x:v>
      </x:c>
      <x:c r="M93" s="65" t="n">
        <x:f>IF(H93=0,0,(J93-I93)/H93)</x:f>
        <x:v>0</x:v>
      </x:c>
      <x:c r="N93" s="60" t="n">
        <x:v>0</x:v>
      </x:c>
      <x:c r="O93" s="60" t="n">
        <x:v>0</x:v>
      </x:c>
      <x:c r="P93" s="60" t="n">
        <x:v>0</x:v>
      </x:c>
      <x:c r="Q93" s="60" t="n">
        <x:f>N93*20%+O93*30%+P93*50%</x:f>
        <x:v>0</x:v>
      </x:c>
      <x:c r="R93" s="12" t="str">
        <x:v>不适用；旧流程与最终分子设计冲突</x:v>
      </x:c>
      <x:c r="S93" s="12" t="str">
        <x:v>SRC-001, SRC-034, SRC-035, SRC-036</x:v>
      </x:c>
    </x:row>
    <x:row r="94">
      <x:c r="A94" t="str">
        <x:v>BOM-007</x:v>
      </x:c>
      <x:c r="B94" t="str">
        <x:v>BOM</x:v>
      </x:c>
      <x:c r="C94" t="str">
        <x:v>质粒对照品</x:v>
      </x:c>
      <x:c r="D94" t="str">
        <x:v>BRAF野生型质粒对照库（年度批）</x:v>
      </x:c>
      <x:c r="E94" t="str">
        <x:v>年度定制/扩增批</x:v>
      </x:c>
      <x:c r="F94" s="51" t="n">
        <x:v>45000</x:v>
      </x:c>
      <x:c r="G94" s="51" t="n">
        <x:v>48000</x:v>
      </x:c>
      <x:c r="H94" s="51" t="n">
        <x:v>48000</x:v>
      </x:c>
      <x:c r="I94" s="51" t="n">
        <x:v>25000</x:v>
      </x:c>
      <x:c r="J94" s="51" t="n">
        <x:v>100000</x:v>
      </x:c>
      <x:c r="K94" s="65" t="n">
        <x:f>IF(F94=0,0,G94/F94-1)</x:f>
        <x:v>0.06666666666666665</x:v>
      </x:c>
      <x:c r="L94" s="65" t="n">
        <x:f>IF(G94=0,0,H94/G94-1)</x:f>
        <x:v>0</x:v>
      </x:c>
      <x:c r="M94" s="65" t="n">
        <x:f>IF(H94=0,0,(J94-I94)/H94)</x:f>
        <x:v>1.5625</x:v>
      </x:c>
      <x:c r="N94" s="60" t="n">
        <x:v>2</x:v>
      </x:c>
      <x:c r="O94" s="60" t="n">
        <x:v>2</x:v>
      </x:c>
      <x:c r="P94" s="60" t="n">
        <x:v>3</x:v>
      </x:c>
      <x:c r="Q94" s="60" t="n">
        <x:f>N94*20%+O94*30%+P94*50%</x:f>
        <x:v>2.5</x:v>
      </x:c>
      <x:c r="R94" s="12" t="str">
        <x:v>当前公开区间基准；2025按2026年6月PPI同比+4.1%回推，2024按2025上半年PPI-2.8%回推</x:v>
      </x:c>
      <x:c r="S94" s="12" t="str">
        <x:v>SRC-001, SRC-031, SRC-034, SRC-035</x:v>
      </x:c>
    </x:row>
    <x:row r="95">
      <x:c r="A95" t="str">
        <x:v>BOM-008</x:v>
      </x:c>
      <x:c r="B95" t="str">
        <x:v>BOM</x:v>
      </x:c>
      <x:c r="C95" t="str">
        <x:v>质粒对照品</x:v>
      </x:c>
      <x:c r="D95" t="str">
        <x:v>BRAF V600E突变质粒对照库（年度批）</x:v>
      </x:c>
      <x:c r="E95" t="str">
        <x:v>年度定制/扩增批</x:v>
      </x:c>
      <x:c r="F95" s="51" t="n">
        <x:v>45000</x:v>
      </x:c>
      <x:c r="G95" s="51" t="n">
        <x:v>48000</x:v>
      </x:c>
      <x:c r="H95" s="51" t="n">
        <x:v>48000</x:v>
      </x:c>
      <x:c r="I95" s="51" t="n">
        <x:v>25000</x:v>
      </x:c>
      <x:c r="J95" s="51" t="n">
        <x:v>100000</x:v>
      </x:c>
      <x:c r="K95" s="65" t="n">
        <x:f>IF(F95=0,0,G95/F95-1)</x:f>
        <x:v>0.06666666666666665</x:v>
      </x:c>
      <x:c r="L95" s="65" t="n">
        <x:f>IF(G95=0,0,H95/G95-1)</x:f>
        <x:v>0</x:v>
      </x:c>
      <x:c r="M95" s="65" t="n">
        <x:f>IF(H95=0,0,(J95-I95)/H95)</x:f>
        <x:v>1.5625</x:v>
      </x:c>
      <x:c r="N95" s="60" t="n">
        <x:v>2</x:v>
      </x:c>
      <x:c r="O95" s="60" t="n">
        <x:v>2</x:v>
      </x:c>
      <x:c r="P95" s="60" t="n">
        <x:v>3</x:v>
      </x:c>
      <x:c r="Q95" s="60" t="n">
        <x:f>N95*20%+O95*30%+P95*50%</x:f>
        <x:v>2.5</x:v>
      </x:c>
      <x:c r="R95" s="12" t="str">
        <x:v>当前公开区间基准；2025按2026年6月PPI同比+4.1%回推，2024按2025上半年PPI-2.8%回推</x:v>
      </x:c>
      <x:c r="S95" s="12" t="str">
        <x:v>SRC-001, SRC-031, SRC-034, SRC-035</x:v>
      </x:c>
    </x:row>
    <x:row r="96">
      <x:c r="A96" t="str">
        <x:v>BOM-009</x:v>
      </x:c>
      <x:c r="B96" t="str">
        <x:v>BOM</x:v>
      </x:c>
      <x:c r="C96" t="str">
        <x:v>酶与核苷酸</x:v>
      </x:c>
      <x:c r="D96" t="str">
        <x:v>热启动Taq DNA聚合酶</x:v>
      </x:c>
      <x:c r="E96" t="str">
        <x:v>kU</x:v>
      </x:c>
      <x:c r="F96" s="51" t="n">
        <x:v>642.3864</x:v>
      </x:c>
      <x:c r="G96" s="51" t="n">
        <x:v>624.3996</x:v>
      </x:c>
      <x:c r="H96" s="51" t="n">
        <x:v>650</x:v>
      </x:c>
      <x:c r="I96" s="51" t="n">
        <x:v>400</x:v>
      </x:c>
      <x:c r="J96" s="51" t="n">
        <x:v>1200</x:v>
      </x:c>
      <x:c r="K96" s="65" t="n">
        <x:f>IF(F96=0,0,G96/F96-1)</x:f>
        <x:v>-0.027999970111446948</x:v>
      </x:c>
      <x:c r="L96" s="65" t="n">
        <x:f>IF(G96=0,0,H96/G96-1)</x:f>
        <x:v>0.04100002626523147</x:v>
      </x:c>
      <x:c r="M96" s="65" t="n">
        <x:f>IF(H96=0,0,(J96-I96)/H96)</x:f>
        <x:v>1.2307692307692308</x:v>
      </x:c>
      <x:c r="N96" s="60" t="n">
        <x:v>3</x:v>
      </x:c>
      <x:c r="O96" s="60" t="n">
        <x:v>4</x:v>
      </x:c>
      <x:c r="P96" s="60" t="n">
        <x:v>5</x:v>
      </x:c>
      <x:c r="Q96" s="60" t="n">
        <x:f>N96*20%+O96*30%+P96*50%</x:f>
        <x:v>4.3</x:v>
      </x:c>
      <x:c r="R96" s="12" t="str">
        <x:v>当前公开区间基准；2025按2026年6月PPI同比+4.1%回推，2024按2025上半年PPI-2.8%回推</x:v>
      </x:c>
      <x:c r="S96" s="12" t="str">
        <x:v>SRC-007, SRC-009, SRC-010, SRC-011</x:v>
      </x:c>
    </x:row>
    <x:row r="97">
      <x:c r="A97" t="str">
        <x:v>BOM-010</x:v>
      </x:c>
      <x:c r="B97" t="str">
        <x:v>BOM</x:v>
      </x:c>
      <x:c r="C97" t="str">
        <x:v>酶与核苷酸</x:v>
      </x:c>
      <x:c r="D97" t="str">
        <x:v>高纯dNTP混合液</x:v>
      </x:c>
      <x:c r="E97" t="str">
        <x:v>mL</x:v>
      </x:c>
      <x:c r="F97" s="51" t="n">
        <x:v>444.7291</x:v>
      </x:c>
      <x:c r="G97" s="51" t="n">
        <x:v>432.2767</x:v>
      </x:c>
      <x:c r="H97" s="51" t="n">
        <x:v>450</x:v>
      </x:c>
      <x:c r="I97" s="51" t="n">
        <x:v>300</x:v>
      </x:c>
      <x:c r="J97" s="51" t="n">
        <x:v>700</x:v>
      </x:c>
      <x:c r="K97" s="65" t="n">
        <x:f>IF(F97=0,0,G97/F97-1)</x:f>
        <x:v>-0.027999966721314218</x:v>
      </x:c>
      <x:c r="L97" s="65" t="n">
        <x:f>IF(G97=0,0,H97/G97-1)</x:f>
        <x:v>0.040999896594010155</x:v>
      </x:c>
      <x:c r="M97" s="65" t="n">
        <x:f>IF(H97=0,0,(J97-I97)/H97)</x:f>
        <x:v>0.8888888888888888</x:v>
      </x:c>
      <x:c r="N97" s="60" t="n">
        <x:v>3</x:v>
      </x:c>
      <x:c r="O97" s="60" t="n">
        <x:v>4</x:v>
      </x:c>
      <x:c r="P97" s="60" t="n">
        <x:v>5</x:v>
      </x:c>
      <x:c r="Q97" s="60" t="n">
        <x:f>N97*20%+O97*30%+P97*50%</x:f>
        <x:v>4.3</x:v>
      </x:c>
      <x:c r="R97" s="12" t="str">
        <x:v>当前公开区间基准；2025按2026年6月PPI同比+4.1%回推，2024按2025上半年PPI-2.8%回推</x:v>
      </x:c>
      <x:c r="S97" s="12" t="str">
        <x:v>SRC-008, SRC-030, SRC-009, SRC-010, SRC-011</x:v>
      </x:c>
    </x:row>
    <x:row r="98">
      <x:c r="A98" t="str">
        <x:v>BOM-011</x:v>
      </x:c>
      <x:c r="B98" t="str">
        <x:v>BOM</x:v>
      </x:c>
      <x:c r="C98" t="str">
        <x:v>缓冲盐与稳定剂</x:v>
      </x:c>
      <x:c r="D98" t="str">
        <x:v>Tris-base高纯级</x:v>
      </x:c>
      <x:c r="E98" t="str">
        <x:v>kg</x:v>
      </x:c>
      <x:c r="F98" s="51" t="n">
        <x:v>247.0717</x:v>
      </x:c>
      <x:c r="G98" s="51" t="n">
        <x:v>240.1537</x:v>
      </x:c>
      <x:c r="H98" s="51" t="n">
        <x:v>250</x:v>
      </x:c>
      <x:c r="I98" s="51" t="n">
        <x:v>80</x:v>
      </x:c>
      <x:c r="J98" s="51" t="n">
        <x:v>800</x:v>
      </x:c>
      <x:c r="K98" s="65" t="n">
        <x:f>IF(F98=0,0,G98/F98-1)</x:f>
        <x:v>-0.027999969239698497</x:v>
      </x:c>
      <x:c r="L98" s="65" t="n">
        <x:f>IF(G98=0,0,H98/G98-1)</x:f>
        <x:v>0.04099999292120016</x:v>
      </x:c>
      <x:c r="M98" s="65" t="n">
        <x:f>IF(H98=0,0,(J98-I98)/H98)</x:f>
        <x:v>2.88</x:v>
      </x:c>
      <x:c r="N98" s="60" t="n">
        <x:v>3</x:v>
      </x:c>
      <x:c r="O98" s="60" t="n">
        <x:v>4</x:v>
      </x:c>
      <x:c r="P98" s="60" t="n">
        <x:v>5</x:v>
      </x:c>
      <x:c r="Q98" s="60" t="n">
        <x:f>N98*20%+O98*30%+P98*50%</x:f>
        <x:v>4.3</x:v>
      </x:c>
      <x:c r="R98" s="12" t="str">
        <x:v>当前公开区间基准；2025按2026年6月PPI同比+4.1%回推，2024按2025上半年PPI-2.8%回推</x:v>
      </x:c>
      <x:c r="S98" s="12" t="str">
        <x:v>SRC-029, SRC-009, SRC-010, SRC-011</x:v>
      </x:c>
    </x:row>
    <x:row r="99">
      <x:c r="A99" t="str">
        <x:v>BOM-012</x:v>
      </x:c>
      <x:c r="B99" t="str">
        <x:v>BOM</x:v>
      </x:c>
      <x:c r="C99" t="str">
        <x:v>缓冲盐与稳定剂</x:v>
      </x:c>
      <x:c r="D99" t="str">
        <x:v>氯化镁高纯级</x:v>
      </x:c>
      <x:c r="E99" t="str">
        <x:v>kg</x:v>
      </x:c>
      <x:c r="F99" s="51" t="n">
        <x:v>177.8917</x:v>
      </x:c>
      <x:c r="G99" s="51" t="n">
        <x:v>172.9107</x:v>
      </x:c>
      <x:c r="H99" s="51" t="n">
        <x:v>180</x:v>
      </x:c>
      <x:c r="I99" s="51" t="n">
        <x:v>50</x:v>
      </x:c>
      <x:c r="J99" s="51" t="n">
        <x:v>600</x:v>
      </x:c>
      <x:c r="K99" s="65" t="n">
        <x:f>IF(F99=0,0,G99/F99-1)</x:f>
        <x:v>-0.0280001821332867</x:v>
      </x:c>
      <x:c r="L99" s="65" t="n">
        <x:f>IF(G99=0,0,H99/G99-1)</x:f>
        <x:v>0.04099977618504824</x:v>
      </x:c>
      <x:c r="M99" s="65" t="n">
        <x:f>IF(H99=0,0,(J99-I99)/H99)</x:f>
        <x:v>3.0555555555555554</x:v>
      </x:c>
      <x:c r="N99" s="60" t="n">
        <x:v>3</x:v>
      </x:c>
      <x:c r="O99" s="60" t="n">
        <x:v>4</x:v>
      </x:c>
      <x:c r="P99" s="60" t="n">
        <x:v>4</x:v>
      </x:c>
      <x:c r="Q99" s="60" t="n">
        <x:f>N99*20%+O99*30%+P99*50%</x:f>
        <x:v>3.8</x:v>
      </x:c>
      <x:c r="R99" s="12" t="str">
        <x:v>当前公开区间基准；2025按2026年6月PPI同比+4.1%回推，2024按2025上半年PPI-2.8%回推</x:v>
      </x:c>
      <x:c r="S99" s="12" t="str">
        <x:v>SRC-029, SRC-009, SRC-010, SRC-011</x:v>
      </x:c>
    </x:row>
    <x:row r="100">
      <x:c r="A100" t="str">
        <x:v>BOM-013</x:v>
      </x:c>
      <x:c r="B100" t="str">
        <x:v>BOM</x:v>
      </x:c>
      <x:c r="C100" t="str">
        <x:v>缓冲盐与稳定剂</x:v>
      </x:c>
      <x:c r="D100" t="str">
        <x:v>KCl高纯级</x:v>
      </x:c>
      <x:c r="E100" t="str">
        <x:v>kg</x:v>
      </x:c>
      <x:c r="F100" s="51" t="n">
        <x:v>215</x:v>
      </x:c>
      <x:c r="G100" s="51" t="n">
        <x:v>220</x:v>
      </x:c>
      <x:c r="H100" s="51" t="n">
        <x:v>220</x:v>
      </x:c>
      <x:c r="I100" s="51" t="n">
        <x:v>80</x:v>
      </x:c>
      <x:c r="J100" s="51" t="n">
        <x:v>600</x:v>
      </x:c>
      <x:c r="K100" s="65" t="n">
        <x:f>IF(F100=0,0,G100/F100-1)</x:f>
        <x:v>0.023255813953488413</x:v>
      </x:c>
      <x:c r="L100" s="65" t="n">
        <x:f>IF(G100=0,0,H100/G100-1)</x:f>
        <x:v>0</x:v>
      </x:c>
      <x:c r="M100" s="65" t="n">
        <x:f>IF(H100=0,0,(J100-I100)/H100)</x:f>
        <x:v>2.3636363636363638</x:v>
      </x:c>
      <x:c r="N100" s="60" t="n">
        <x:v>3</x:v>
      </x:c>
      <x:c r="O100" s="60" t="n">
        <x:v>3</x:v>
      </x:c>
      <x:c r="P100" s="60" t="n">
        <x:v>4</x:v>
      </x:c>
      <x:c r="Q100" s="60" t="n">
        <x:f>N100*20%+O100*30%+P100*50%</x:f>
        <x:v>3.5</x:v>
      </x:c>
      <x:c r="R100" s="12" t="str">
        <x:v>当前公开区间基准；2025按2026年6月PPI同比+4.1%回推，2024按2025上半年PPI-2.8%回推</x:v>
      </x:c>
      <x:c r="S100" s="12" t="str">
        <x:v>SRC-029, SRC-031, SRC-009, SRC-010, SRC-011</x:v>
      </x:c>
    </x:row>
    <x:row r="101">
      <x:c r="A101" t="str">
        <x:v>BOM-014</x:v>
      </x:c>
      <x:c r="B101" t="str">
        <x:v>BOM</x:v>
      </x:c>
      <x:c r="C101" t="str">
        <x:v>缓冲盐与稳定剂</x:v>
      </x:c>
      <x:c r="D101" t="str">
        <x:v>无核酸酶水</x:v>
      </x:c>
      <x:c r="E101" t="str">
        <x:v>L</x:v>
      </x:c>
      <x:c r="F101" s="51" t="n">
        <x:v>24.7072</x:v>
      </x:c>
      <x:c r="G101" s="51" t="n">
        <x:v>24.0154</x:v>
      </x:c>
      <x:c r="H101" s="51" t="n">
        <x:v>25</x:v>
      </x:c>
      <x:c r="I101" s="51" t="n">
        <x:v>10</x:v>
      </x:c>
      <x:c r="J101" s="51" t="n">
        <x:v>80</x:v>
      </x:c>
      <x:c r="K101" s="65" t="n">
        <x:f>IF(F101=0,0,G101/F101-1)</x:f>
        <x:v>-0.02799993524154909</x:v>
      </x:c>
      <x:c r="L101" s="65" t="n">
        <x:f>IF(G101=0,0,H101/G101-1)</x:f>
        <x:v>0.040998692505642254</x:v>
      </x:c>
      <x:c r="M101" s="65" t="n">
        <x:f>IF(H101=0,0,(J101-I101)/H101)</x:f>
        <x:v>2.8</x:v>
      </x:c>
      <x:c r="N101" s="60" t="n">
        <x:v>3</x:v>
      </x:c>
      <x:c r="O101" s="60" t="n">
        <x:v>4</x:v>
      </x:c>
      <x:c r="P101" s="60" t="n">
        <x:v>4</x:v>
      </x:c>
      <x:c r="Q101" s="60" t="n">
        <x:f>N101*20%+O101*30%+P101*50%</x:f>
        <x:v>3.8</x:v>
      </x:c>
      <x:c r="R101" s="12" t="str">
        <x:v>当前公开区间基准；2025按2026年6月PPI同比+4.1%回推，2024按2025上半年PPI-2.8%回推</x:v>
      </x:c>
      <x:c r="S101" s="12" t="str">
        <x:v>SRC-029, SRC-009, SRC-010, SRC-011</x:v>
      </x:c>
    </x:row>
    <x:row r="102">
      <x:c r="A102" t="str">
        <x:v>BOM-015</x:v>
      </x:c>
      <x:c r="B102" t="str">
        <x:v>BOM</x:v>
      </x:c>
      <x:c r="C102" t="str">
        <x:v>过程耗材</x:v>
      </x:c>
      <x:c r="D102" t="str">
        <x:v>0.22um低吸附无菌过滤器</x:v>
      </x:c>
      <x:c r="E102" t="str">
        <x:v>个</x:v>
      </x:c>
      <x:c r="F102" s="51" t="n">
        <x:v>88.9458</x:v>
      </x:c>
      <x:c r="G102" s="51" t="n">
        <x:v>86.4553</x:v>
      </x:c>
      <x:c r="H102" s="51" t="n">
        <x:v>90</x:v>
      </x:c>
      <x:c r="I102" s="51" t="n">
        <x:v>50</x:v>
      </x:c>
      <x:c r="J102" s="51" t="n">
        <x:v>180</x:v>
      </x:c>
      <x:c r="K102" s="65" t="n">
        <x:f>IF(F102=0,0,G102/F102-1)</x:f>
        <x:v>-0.02800019787331176</x:v>
      </x:c>
      <x:c r="L102" s="65" t="n">
        <x:f>IF(G102=0,0,H102/G102-1)</x:f>
        <x:v>0.04100037823013758</x:v>
      </x:c>
      <x:c r="M102" s="65" t="n">
        <x:f>IF(H102=0,0,(J102-I102)/H102)</x:f>
        <x:v>1.4444444444444444</x:v>
      </x:c>
      <x:c r="N102" s="60" t="n">
        <x:v>3</x:v>
      </x:c>
      <x:c r="O102" s="60" t="n">
        <x:v>4</x:v>
      </x:c>
      <x:c r="P102" s="60" t="n">
        <x:v>4</x:v>
      </x:c>
      <x:c r="Q102" s="60" t="n">
        <x:f>N102*20%+O102*30%+P102*50%</x:f>
        <x:v>3.8</x:v>
      </x:c>
      <x:c r="R102" s="12" t="str">
        <x:v>当前公开区间基准；2025按2026年6月PPI同比+4.1%回推，2024按2025上半年PPI-2.8%回推</x:v>
      </x:c>
      <x:c r="S102" s="12" t="str">
        <x:v>SRC-028, SRC-009, SRC-010, SRC-011</x:v>
      </x:c>
    </x:row>
    <x:row r="103">
      <x:c r="A103" t="str">
        <x:v>BOM-016</x:v>
      </x:c>
      <x:c r="B103" t="str">
        <x:v>BOM</x:v>
      </x:c>
      <x:c r="C103" t="str">
        <x:v>包材</x:v>
      </x:c>
      <x:c r="D103" t="str">
        <x:v>PCR Mix与PANDA Mix棕色低吸附冻存管</x:v>
      </x:c>
      <x:c r="E103" t="str">
        <x:v>支</x:v>
      </x:c>
      <x:c r="F103" s="51" t="n">
        <x:v>1.4824</x:v>
      </x:c>
      <x:c r="G103" s="51" t="n">
        <x:v>1.4409</x:v>
      </x:c>
      <x:c r="H103" s="51" t="n">
        <x:v>1.5</x:v>
      </x:c>
      <x:c r="I103" s="51" t="n">
        <x:v>0.8</x:v>
      </x:c>
      <x:c r="J103" s="51" t="n">
        <x:v>3</x:v>
      </x:c>
      <x:c r="K103" s="65" t="n">
        <x:f>IF(F103=0,0,G103/F103-1)</x:f>
        <x:v>-0.02799514301133288</x:v>
      </x:c>
      <x:c r="L103" s="65" t="n">
        <x:f>IF(G103=0,0,H103/G103-1)</x:f>
        <x:v>0.041016031646887274</x:v>
      </x:c>
      <x:c r="M103" s="65" t="n">
        <x:f>IF(H103=0,0,(J103-I103)/H103)</x:f>
        <x:v>1.4666666666666668</x:v>
      </x:c>
      <x:c r="N103" s="60" t="n">
        <x:v>3</x:v>
      </x:c>
      <x:c r="O103" s="60" t="n">
        <x:v>4</x:v>
      </x:c>
      <x:c r="P103" s="60" t="n">
        <x:v>4</x:v>
      </x:c>
      <x:c r="Q103" s="60" t="n">
        <x:f>N103*20%+O103*30%+P103*50%</x:f>
        <x:v>3.8</x:v>
      </x:c>
      <x:c r="R103" s="12" t="str">
        <x:v>当前公开区间基准；2025按2026年6月PPI同比+4.1%回推，2024按2025上半年PPI-2.8%回推</x:v>
      </x:c>
      <x:c r="S103" s="12" t="str">
        <x:v>SRC-028, SRC-009, SRC-010, SRC-011</x:v>
      </x:c>
    </x:row>
    <x:row r="104">
      <x:c r="A104" t="str">
        <x:v>BOM-017</x:v>
      </x:c>
      <x:c r="B104" t="str">
        <x:v>BOM</x:v>
      </x:c>
      <x:c r="C104" t="str">
        <x:v>包材</x:v>
      </x:c>
      <x:c r="D104" t="str">
        <x:v>CD Mix棕色低吸附冻存管</x:v>
      </x:c>
      <x:c r="E104" t="str">
        <x:v>支</x:v>
      </x:c>
      <x:c r="F104" s="51" t="n">
        <x:v>1.4824</x:v>
      </x:c>
      <x:c r="G104" s="51" t="n">
        <x:v>1.4409</x:v>
      </x:c>
      <x:c r="H104" s="51" t="n">
        <x:v>1.5</x:v>
      </x:c>
      <x:c r="I104" s="51" t="n">
        <x:v>0.8</x:v>
      </x:c>
      <x:c r="J104" s="51" t="n">
        <x:v>3</x:v>
      </x:c>
      <x:c r="K104" s="65" t="n">
        <x:f>IF(F104=0,0,G104/F104-1)</x:f>
        <x:v>-0.02799514301133288</x:v>
      </x:c>
      <x:c r="L104" s="65" t="n">
        <x:f>IF(G104=0,0,H104/G104-1)</x:f>
        <x:v>0.041016031646887274</x:v>
      </x:c>
      <x:c r="M104" s="65" t="n">
        <x:f>IF(H104=0,0,(J104-I104)/H104)</x:f>
        <x:v>1.4666666666666668</x:v>
      </x:c>
      <x:c r="N104" s="60" t="n">
        <x:v>3</x:v>
      </x:c>
      <x:c r="O104" s="60" t="n">
        <x:v>4</x:v>
      </x:c>
      <x:c r="P104" s="60" t="n">
        <x:v>4</x:v>
      </x:c>
      <x:c r="Q104" s="60" t="n">
        <x:f>N104*20%+O104*30%+P104*50%</x:f>
        <x:v>3.8</x:v>
      </x:c>
      <x:c r="R104" s="12" t="str">
        <x:v>当前公开区间基准；2025按2026年6月PPI同比+4.1%回推，2024按2025上半年PPI-2.8%回推</x:v>
      </x:c>
      <x:c r="S104" s="12" t="str">
        <x:v>SRC-028, SRC-009, SRC-010, SRC-011</x:v>
      </x:c>
    </x:row>
    <x:row r="105">
      <x:c r="A105" t="str">
        <x:v>BOM-018</x:v>
      </x:c>
      <x:c r="B105" t="str">
        <x:v>BOM</x:v>
      </x:c>
      <x:c r="C105" t="str">
        <x:v>包材</x:v>
      </x:c>
      <x:c r="D105" t="str">
        <x:v>三种DNA对照品及NTC低吸附冻存管</x:v>
      </x:c>
      <x:c r="E105" t="str">
        <x:v>支</x:v>
      </x:c>
      <x:c r="F105" s="51" t="n">
        <x:v>1.1859</x:v>
      </x:c>
      <x:c r="G105" s="51" t="n">
        <x:v>1.1527</x:v>
      </x:c>
      <x:c r="H105" s="51" t="n">
        <x:v>1.2</x:v>
      </x:c>
      <x:c r="I105" s="51" t="n">
        <x:v>0.6</x:v>
      </x:c>
      <x:c r="J105" s="51" t="n">
        <x:v>2.5</x:v>
      </x:c>
      <x:c r="K105" s="65" t="n">
        <x:f>IF(F105=0,0,G105/F105-1)</x:f>
        <x:v>-0.027995615144615793</x:v>
      </x:c>
      <x:c r="L105" s="65" t="n">
        <x:f>IF(G105=0,0,H105/G105-1)</x:f>
        <x:v>0.041034093866574084</x:v>
      </x:c>
      <x:c r="M105" s="65" t="n">
        <x:f>IF(H105=0,0,(J105-I105)/H105)</x:f>
        <x:v>1.5833333333333333</x:v>
      </x:c>
      <x:c r="N105" s="60" t="n">
        <x:v>3</x:v>
      </x:c>
      <x:c r="O105" s="60" t="n">
        <x:v>4</x:v>
      </x:c>
      <x:c r="P105" s="60" t="n">
        <x:v>4</x:v>
      </x:c>
      <x:c r="Q105" s="60" t="n">
        <x:f>N105*20%+O105*30%+P105*50%</x:f>
        <x:v>3.8</x:v>
      </x:c>
      <x:c r="R105" s="12" t="str">
        <x:v>当前公开区间基准；2025按2026年6月PPI同比+4.1%回推，2024按2025上半年PPI-2.8%回推</x:v>
      </x:c>
      <x:c r="S105" s="12" t="str">
        <x:v>SRC-028, SRC-009, SRC-010, SRC-011</x:v>
      </x:c>
    </x:row>
    <x:row r="106">
      <x:c r="A106" t="str">
        <x:v>BOM-019</x:v>
      </x:c>
      <x:c r="B106" t="str">
        <x:v>BOM</x:v>
      </x:c>
      <x:c r="C106" t="str">
        <x:v>包材</x:v>
      </x:c>
      <x:c r="D106" t="str">
        <x:v>冻存管匹配旋盖</x:v>
      </x:c>
      <x:c r="E106" t="str">
        <x:v>个</x:v>
      </x:c>
      <x:c r="F106" s="51" t="n">
        <x:v>0.2965</x:v>
      </x:c>
      <x:c r="G106" s="51" t="n">
        <x:v>0.2882</x:v>
      </x:c>
      <x:c r="H106" s="51" t="n">
        <x:v>0.3</x:v>
      </x:c>
      <x:c r="I106" s="51" t="n">
        <x:v>0.12</x:v>
      </x:c>
      <x:c r="J106" s="51" t="n">
        <x:v>0.8</x:v>
      </x:c>
      <x:c r="K106" s="65" t="n">
        <x:f>IF(F106=0,0,G106/F106-1)</x:f>
        <x:v>-0.027993254637436626</x:v>
      </x:c>
      <x:c r="L106" s="65" t="n">
        <x:f>IF(G106=0,0,H106/G106-1)</x:f>
        <x:v>0.040943789035392086</x:v>
      </x:c>
      <x:c r="M106" s="65" t="n">
        <x:f>IF(H106=0,0,(J106-I106)/H106)</x:f>
        <x:v>2.266666666666667</x:v>
      </x:c>
      <x:c r="N106" s="60" t="n">
        <x:v>3</x:v>
      </x:c>
      <x:c r="O106" s="60" t="n">
        <x:v>4</x:v>
      </x:c>
      <x:c r="P106" s="60" t="n">
        <x:v>4</x:v>
      </x:c>
      <x:c r="Q106" s="60" t="n">
        <x:f>N106*20%+O106*30%+P106*50%</x:f>
        <x:v>3.8</x:v>
      </x:c>
      <x:c r="R106" s="12" t="str">
        <x:v>当前公开区间基准；2025按2026年6月PPI同比+4.1%回推，2024按2025上半年PPI-2.8%回推</x:v>
      </x:c>
      <x:c r="S106" s="12" t="str">
        <x:v>SRC-028, SRC-009, SRC-010, SRC-011</x:v>
      </x:c>
    </x:row>
    <x:row r="107">
      <x:c r="A107" t="str">
        <x:v>BOM-020</x:v>
      </x:c>
      <x:c r="B107" t="str">
        <x:v>BOM</x:v>
      </x:c>
      <x:c r="C107" t="str">
        <x:v>包材</x:v>
      </x:c>
      <x:c r="D107" t="str">
        <x:v>试剂盒外盒及内托</x:v>
      </x:c>
      <x:c r="E107" t="str">
        <x:v>套</x:v>
      </x:c>
      <x:c r="F107" s="51" t="n">
        <x:v>1.9765</x:v>
      </x:c>
      <x:c r="G107" s="51" t="n">
        <x:v>1.9212</x:v>
      </x:c>
      <x:c r="H107" s="51" t="n">
        <x:v>2</x:v>
      </x:c>
      <x:c r="I107" s="51" t="n">
        <x:v>1</x:v>
      </x:c>
      <x:c r="J107" s="51" t="n">
        <x:v>5</x:v>
      </x:c>
      <x:c r="K107" s="65" t="n">
        <x:f>IF(F107=0,0,G107/F107-1)</x:f>
        <x:v>-0.02797875031621544</x:v>
      </x:c>
      <x:c r="L107" s="65" t="n">
        <x:f>IF(G107=0,0,H107/G107-1)</x:f>
        <x:v>0.041016031646887274</x:v>
      </x:c>
      <x:c r="M107" s="65" t="n">
        <x:f>IF(H107=0,0,(J107-I107)/H107)</x:f>
        <x:v>2</x:v>
      </x:c>
      <x:c r="N107" s="60" t="n">
        <x:v>3</x:v>
      </x:c>
      <x:c r="O107" s="60" t="n">
        <x:v>4</x:v>
      </x:c>
      <x:c r="P107" s="60" t="n">
        <x:v>4</x:v>
      </x:c>
      <x:c r="Q107" s="60" t="n">
        <x:f>N107*20%+O107*30%+P107*50%</x:f>
        <x:v>3.8</x:v>
      </x:c>
      <x:c r="R107" s="12" t="str">
        <x:v>当前公开区间基准；2025按2026年6月PPI同比+4.1%回推，2024按2025上半年PPI-2.8%回推</x:v>
      </x:c>
      <x:c r="S107" s="12" t="str">
        <x:v>SRC-028, SRC-009, SRC-010, SRC-011</x:v>
      </x:c>
    </x:row>
    <x:row r="108">
      <x:c r="A108" t="str">
        <x:v>BOM-021</x:v>
      </x:c>
      <x:c r="B108" t="str">
        <x:v>BOM</x:v>
      </x:c>
      <x:c r="C108" t="str">
        <x:v>包材</x:v>
      </x:c>
      <x:c r="D108" t="str">
        <x:v>产品说明书印刷</x:v>
      </x:c>
      <x:c r="E108" t="str">
        <x:v>份</x:v>
      </x:c>
      <x:c r="F108" s="51" t="n">
        <x:v>0.2471</x:v>
      </x:c>
      <x:c r="G108" s="51" t="n">
        <x:v>0.2402</x:v>
      </x:c>
      <x:c r="H108" s="51" t="n">
        <x:v>0.25</x:v>
      </x:c>
      <x:c r="I108" s="51" t="n">
        <x:v>0.1</x:v>
      </x:c>
      <x:c r="J108" s="51" t="n">
        <x:v>0.8</x:v>
      </x:c>
      <x:c r="K108" s="65" t="n">
        <x:f>IF(F108=0,0,G108/F108-1)</x:f>
        <x:v>-0.027923917442331025</x:v>
      </x:c>
      <x:c r="L108" s="65" t="n">
        <x:f>IF(G108=0,0,H108/G108-1)</x:f>
        <x:v>0.04079933388842627</x:v>
      </x:c>
      <x:c r="M108" s="65" t="n">
        <x:f>IF(H108=0,0,(J108-I108)/H108)</x:f>
        <x:v>2.8000000000000003</x:v>
      </x:c>
      <x:c r="N108" s="60" t="n">
        <x:v>3</x:v>
      </x:c>
      <x:c r="O108" s="60" t="n">
        <x:v>4</x:v>
      </x:c>
      <x:c r="P108" s="60" t="n">
        <x:v>4</x:v>
      </x:c>
      <x:c r="Q108" s="60" t="n">
        <x:f>N108*20%+O108*30%+P108*50%</x:f>
        <x:v>3.8</x:v>
      </x:c>
      <x:c r="R108" s="12" t="str">
        <x:v>当前公开区间基准；2025按2026年6月PPI同比+4.1%回推，2024按2025上半年PPI-2.8%回推</x:v>
      </x:c>
      <x:c r="S108" s="12" t="str">
        <x:v>SRC-028, SRC-009, SRC-010, SRC-011</x:v>
      </x:c>
    </x:row>
    <x:row r="109">
      <x:c r="A109" t="str">
        <x:v>BOM-022</x:v>
      </x:c>
      <x:c r="B109" t="str">
        <x:v>BOM</x:v>
      </x:c>
      <x:c r="C109" t="str">
        <x:v>包材</x:v>
      </x:c>
      <x:c r="D109" t="str">
        <x:v>产品、管体和外盒标签</x:v>
      </x:c>
      <x:c r="E109" t="str">
        <x:v>套</x:v>
      </x:c>
      <x:c r="F109" s="51" t="n">
        <x:v>0.4941</x:v>
      </x:c>
      <x:c r="G109" s="51" t="n">
        <x:v>0.4803</x:v>
      </x:c>
      <x:c r="H109" s="51" t="n">
        <x:v>0.5</x:v>
      </x:c>
      <x:c r="I109" s="51" t="n">
        <x:v>0.2</x:v>
      </x:c>
      <x:c r="J109" s="51" t="n">
        <x:v>1.2</x:v>
      </x:c>
      <x:c r="K109" s="65" t="n">
        <x:f>IF(F109=0,0,G109/F109-1)</x:f>
        <x:v>-0.02792956891317544</x:v>
      </x:c>
      <x:c r="L109" s="65" t="n">
        <x:f>IF(G109=0,0,H109/G109-1)</x:f>
        <x:v>0.041016031646887274</x:v>
      </x:c>
      <x:c r="M109" s="65" t="n">
        <x:f>IF(H109=0,0,(J109-I109)/H109)</x:f>
        <x:v>2</x:v>
      </x:c>
      <x:c r="N109" s="60" t="n">
        <x:v>3</x:v>
      </x:c>
      <x:c r="O109" s="60" t="n">
        <x:v>4</x:v>
      </x:c>
      <x:c r="P109" s="60" t="n">
        <x:v>4</x:v>
      </x:c>
      <x:c r="Q109" s="60" t="n">
        <x:f>N109*20%+O109*30%+P109*50%</x:f>
        <x:v>3.8</x:v>
      </x:c>
      <x:c r="R109" s="12" t="str">
        <x:v>当前公开区间基准；2025按2026年6月PPI同比+4.1%回推，2024按2025上半年PPI-2.8%回推</x:v>
      </x:c>
      <x:c r="S109" s="12" t="str">
        <x:v>SRC-028, SRC-009, SRC-010, SRC-011</x:v>
      </x:c>
    </x:row>
    <x:row r="110">
      <x:c r="A110" t="str">
        <x:v>BOM-023</x:v>
      </x:c>
      <x:c r="B110" t="str">
        <x:v>BOM</x:v>
      </x:c>
      <x:c r="C110" t="str">
        <x:v>包材</x:v>
      </x:c>
      <x:c r="D110" t="str">
        <x:v>防伪标签或数字码</x:v>
      </x:c>
      <x:c r="E110" t="str">
        <x:v>套</x:v>
      </x:c>
      <x:c r="F110" s="51" t="n">
        <x:v>0.2965</x:v>
      </x:c>
      <x:c r="G110" s="51" t="n">
        <x:v>0.2882</x:v>
      </x:c>
      <x:c r="H110" s="51" t="n">
        <x:v>0.3</x:v>
      </x:c>
      <x:c r="I110" s="51" t="n">
        <x:v>0.1</x:v>
      </x:c>
      <x:c r="J110" s="51" t="n">
        <x:v>0.8</x:v>
      </x:c>
      <x:c r="K110" s="65" t="n">
        <x:f>IF(F110=0,0,G110/F110-1)</x:f>
        <x:v>-0.027993254637436626</x:v>
      </x:c>
      <x:c r="L110" s="65" t="n">
        <x:f>IF(G110=0,0,H110/G110-1)</x:f>
        <x:v>0.040943789035392086</x:v>
      </x:c>
      <x:c r="M110" s="65" t="n">
        <x:f>IF(H110=0,0,(J110-I110)/H110)</x:f>
        <x:v>2.3333333333333335</x:v>
      </x:c>
      <x:c r="N110" s="60" t="n">
        <x:v>3</x:v>
      </x:c>
      <x:c r="O110" s="60" t="n">
        <x:v>4</x:v>
      </x:c>
      <x:c r="P110" s="60" t="n">
        <x:v>4</x:v>
      </x:c>
      <x:c r="Q110" s="60" t="n">
        <x:f>N110*20%+O110*30%+P110*50%</x:f>
        <x:v>3.8</x:v>
      </x:c>
      <x:c r="R110" s="12" t="str">
        <x:v>当前公开区间基准；2025按2026年6月PPI同比+4.1%回推，2024按2025上半年PPI-2.8%回推</x:v>
      </x:c>
      <x:c r="S110" s="12" t="str">
        <x:v>SRC-028, SRC-009, SRC-010, SRC-011</x:v>
      </x:c>
    </x:row>
    <x:row r="111">
      <x:c r="A111" t="str">
        <x:v>BOM-024</x:v>
      </x:c>
      <x:c r="B111" t="str">
        <x:v>BOM</x:v>
      </x:c>
      <x:c r="C111" t="str">
        <x:v>包材</x:v>
      </x:c>
      <x:c r="D111" t="str">
        <x:v>试剂盒热缩膜</x:v>
      </x:c>
      <x:c r="E111" t="str">
        <x:v>套</x:v>
      </x:c>
      <x:c r="F111" s="51" t="n">
        <x:v>0.1976</x:v>
      </x:c>
      <x:c r="G111" s="51" t="n">
        <x:v>0.1921</x:v>
      </x:c>
      <x:c r="H111" s="51" t="n">
        <x:v>0.2</x:v>
      </x:c>
      <x:c r="I111" s="51" t="n">
        <x:v>0.08</x:v>
      </x:c>
      <x:c r="J111" s="51" t="n">
        <x:v>0.5</x:v>
      </x:c>
      <x:c r="K111" s="65" t="n">
        <x:f>IF(F111=0,0,G111/F111-1)</x:f>
        <x:v>-0.027834008097165963</x:v>
      </x:c>
      <x:c r="L111" s="65" t="n">
        <x:f>IF(G111=0,0,H111/G111-1)</x:f>
        <x:v>0.041124414367516904</x:v>
      </x:c>
      <x:c r="M111" s="65" t="n">
        <x:f>IF(H111=0,0,(J111-I111)/H111)</x:f>
        <x:v>2.0999999999999996</x:v>
      </x:c>
      <x:c r="N111" s="60" t="n">
        <x:v>3</x:v>
      </x:c>
      <x:c r="O111" s="60" t="n">
        <x:v>4</x:v>
      </x:c>
      <x:c r="P111" s="60" t="n">
        <x:v>4</x:v>
      </x:c>
      <x:c r="Q111" s="60" t="n">
        <x:f>N111*20%+O111*30%+P111*50%</x:f>
        <x:v>3.8</x:v>
      </x:c>
      <x:c r="R111" s="12" t="str">
        <x:v>当前公开区间基准；2025按2026年6月PPI同比+4.1%回推，2024按2025上半年PPI-2.8%回推</x:v>
      </x:c>
      <x:c r="S111" s="12" t="str">
        <x:v>SRC-028, SRC-009, SRC-010, SRC-011</x:v>
      </x:c>
    </x:row>
    <x:row r="112">
      <x:c r="A112" t="str">
        <x:v>BOM-025</x:v>
      </x:c>
      <x:c r="B112" t="str">
        <x:v>BOM</x:v>
      </x:c>
      <x:c r="C112" t="str">
        <x:v>QC耗材</x:v>
      </x:c>
      <x:c r="D112" t="str">
        <x:v>DNase/RNase检测试剂</x:v>
      </x:c>
      <x:c r="E112" t="str">
        <x:v>批次</x:v>
      </x:c>
      <x:c r="F112" s="51" t="n">
        <x:v>1482.4302</x:v>
      </x:c>
      <x:c r="G112" s="51" t="n">
        <x:v>1440.9222</x:v>
      </x:c>
      <x:c r="H112" s="51" t="n">
        <x:v>1500</x:v>
      </x:c>
      <x:c r="I112" s="51" t="n">
        <x:v>700</x:v>
      </x:c>
      <x:c r="J112" s="51" t="n">
        <x:v>3000</x:v>
      </x:c>
      <x:c r="K112" s="65" t="n">
        <x:f>IF(F112=0,0,G112/F112-1)</x:f>
        <x:v>-0.027999969239698497</x:v>
      </x:c>
      <x:c r="L112" s="65" t="n">
        <x:f>IF(G112=0,0,H112/G112-1)</x:f>
        <x:v>0.04099999292120016</x:v>
      </x:c>
      <x:c r="M112" s="65" t="n">
        <x:f>IF(H112=0,0,(J112-I112)/H112)</x:f>
        <x:v>1.5333333333333334</x:v>
      </x:c>
      <x:c r="N112" s="60" t="n">
        <x:v>3</x:v>
      </x:c>
      <x:c r="O112" s="60" t="n">
        <x:v>3</x:v>
      </x:c>
      <x:c r="P112" s="60" t="n">
        <x:v>3</x:v>
      </x:c>
      <x:c r="Q112" s="60" t="n">
        <x:f>N112*20%+O112*30%+P112*50%</x:f>
        <x:v>3</x:v>
      </x:c>
      <x:c r="R112" s="12" t="str">
        <x:v>当前公开区间基准；2025按2026年6月PPI同比+4.1%回推，2024按2025上半年PPI-2.8%回推</x:v>
      </x:c>
      <x:c r="S112" s="12" t="str">
        <x:v>SRC-031, SRC-009, SRC-010, SRC-011</x:v>
      </x:c>
    </x:row>
    <x:row r="113">
      <x:c r="A113" t="str">
        <x:v>BOM-026</x:v>
      </x:c>
      <x:c r="B113" t="str">
        <x:v>BOM</x:v>
      </x:c>
      <x:c r="C113" t="str">
        <x:v>QC耗材</x:v>
      </x:c>
      <x:c r="D113" t="str">
        <x:v>测序/质谱/HPLC样品检测耗材</x:v>
      </x:c>
      <x:c r="E113" t="str">
        <x:v>批次</x:v>
      </x:c>
      <x:c r="F113" s="51" t="n">
        <x:v>5929.721</x:v>
      </x:c>
      <x:c r="G113" s="51" t="n">
        <x:v>5763.6888</x:v>
      </x:c>
      <x:c r="H113" s="51" t="n">
        <x:v>6000</x:v>
      </x:c>
      <x:c r="I113" s="51" t="n">
        <x:v>2500</x:v>
      </x:c>
      <x:c r="J113" s="51" t="n">
        <x:v>15000</x:v>
      </x:c>
      <x:c r="K113" s="65" t="n">
        <x:f>IF(F113=0,0,G113/F113-1)</x:f>
        <x:v>-0.028000002023703896</x:v>
      </x:c>
      <x:c r="L113" s="65" t="n">
        <x:f>IF(G113=0,0,H113/G113-1)</x:f>
        <x:v>0.04099999292120016</x:v>
      </x:c>
      <x:c r="M113" s="65" t="n">
        <x:f>IF(H113=0,0,(J113-I113)/H113)</x:f>
        <x:v>2.0833333333333335</x:v>
      </x:c>
      <x:c r="N113" s="60" t="n">
        <x:v>3</x:v>
      </x:c>
      <x:c r="O113" s="60" t="n">
        <x:v>3</x:v>
      </x:c>
      <x:c r="P113" s="60" t="n">
        <x:v>3</x:v>
      </x:c>
      <x:c r="Q113" s="60" t="n">
        <x:f>N113*20%+O113*30%+P113*50%</x:f>
        <x:v>3</x:v>
      </x:c>
      <x:c r="R113" s="12" t="str">
        <x:v>当前公开区间基准；2025按2026年6月PPI同比+4.1%回推，2024按2025上半年PPI-2.8%回推</x:v>
      </x:c>
      <x:c r="S113" s="12" t="str">
        <x:v>SRC-006, SRC-031, SRC-009, SRC-010, SRC-011</x:v>
      </x:c>
    </x:row>
    <x:row r="114">
      <x:c r="A114" t="str">
        <x:v>BOM-027</x:v>
      </x:c>
      <x:c r="B114" t="str">
        <x:v>BOM</x:v>
      </x:c>
      <x:c r="C114" t="str">
        <x:v>QC耗材</x:v>
      </x:c>
      <x:c r="D114" t="str">
        <x:v>qPCR性能检测试剂及板管</x:v>
      </x:c>
      <x:c r="E114" t="str">
        <x:v>批次</x:v>
      </x:c>
      <x:c r="F114" s="51" t="n">
        <x:v>4941.4342</x:v>
      </x:c>
      <x:c r="G114" s="51" t="n">
        <x:v>4803.074</x:v>
      </x:c>
      <x:c r="H114" s="51" t="n">
        <x:v>5000</x:v>
      </x:c>
      <x:c r="I114" s="51" t="n">
        <x:v>2000</x:v>
      </x:c>
      <x:c r="J114" s="51" t="n">
        <x:v>12000</x:v>
      </x:c>
      <x:c r="K114" s="65" t="n">
        <x:f>IF(F114=0,0,G114/F114-1)</x:f>
        <x:v>-0.028000008580504887</x:v>
      </x:c>
      <x:c r="L114" s="65" t="n">
        <x:f>IF(G114=0,0,H114/G114-1)</x:f>
        <x:v>0.04099999292120016</x:v>
      </x:c>
      <x:c r="M114" s="65" t="n">
        <x:f>IF(H114=0,0,(J114-I114)/H114)</x:f>
        <x:v>2</x:v>
      </x:c>
      <x:c r="N114" s="60" t="n">
        <x:v>3</x:v>
      </x:c>
      <x:c r="O114" s="60" t="n">
        <x:v>3</x:v>
      </x:c>
      <x:c r="P114" s="60" t="n">
        <x:v>3</x:v>
      </x:c>
      <x:c r="Q114" s="60" t="n">
        <x:f>N114*20%+O114*30%+P114*50%</x:f>
        <x:v>3</x:v>
      </x:c>
      <x:c r="R114" s="12" t="str">
        <x:v>当前公开区间基准；2025按2026年6月PPI同比+4.1%回推，2024按2025上半年PPI-2.8%回推</x:v>
      </x:c>
      <x:c r="S114" s="12" t="str">
        <x:v>SRC-007, SRC-008, SRC-009, SRC-010, SRC-011</x:v>
      </x:c>
    </x:row>
    <x:row r="115">
      <x:c r="A115" t="str">
        <x:v>BOM-028</x:v>
      </x:c>
      <x:c r="B115" t="str">
        <x:v>BOM</x:v>
      </x:c>
      <x:c r="C115" t="str">
        <x:v>QC耗材</x:v>
      </x:c>
      <x:c r="D115" t="str">
        <x:v>琼脂糖电泳与成像耗材</x:v>
      </x:c>
      <x:c r="E115" t="str">
        <x:v>批次</x:v>
      </x:c>
      <x:c r="F115" s="51" t="n">
        <x:v>1482.4302</x:v>
      </x:c>
      <x:c r="G115" s="51" t="n">
        <x:v>1440.9222</x:v>
      </x:c>
      <x:c r="H115" s="51" t="n">
        <x:v>1500</x:v>
      </x:c>
      <x:c r="I115" s="51" t="n">
        <x:v>600</x:v>
      </x:c>
      <x:c r="J115" s="51" t="n">
        <x:v>4000</x:v>
      </x:c>
      <x:c r="K115" s="65" t="n">
        <x:f>IF(F115=0,0,G115/F115-1)</x:f>
        <x:v>-0.027999969239698497</x:v>
      </x:c>
      <x:c r="L115" s="65" t="n">
        <x:f>IF(G115=0,0,H115/G115-1)</x:f>
        <x:v>0.04099999292120016</x:v>
      </x:c>
      <x:c r="M115" s="65" t="n">
        <x:f>IF(H115=0,0,(J115-I115)/H115)</x:f>
        <x:v>2.2666666666666666</x:v>
      </x:c>
      <x:c r="N115" s="60" t="n">
        <x:v>3</x:v>
      </x:c>
      <x:c r="O115" s="60" t="n">
        <x:v>3</x:v>
      </x:c>
      <x:c r="P115" s="60" t="n">
        <x:v>3</x:v>
      </x:c>
      <x:c r="Q115" s="60" t="n">
        <x:f>N115*20%+O115*30%+P115*50%</x:f>
        <x:v>3</x:v>
      </x:c>
      <x:c r="R115" s="12" t="str">
        <x:v>当前公开区间基准；2025按2026年6月PPI同比+4.1%回推，2024按2025上半年PPI-2.8%回推</x:v>
      </x:c>
      <x:c r="S115" s="12" t="str">
        <x:v>SRC-028, SRC-009, SRC-010, SRC-011</x:v>
      </x:c>
    </x:row>
    <x:row r="116">
      <x:c r="A116" t="str">
        <x:v>BOM-029</x:v>
      </x:c>
      <x:c r="B116" t="str">
        <x:v>BOM</x:v>
      </x:c>
      <x:c r="C116" t="str">
        <x:v>QC耗材</x:v>
      </x:c>
      <x:c r="D116" t="str">
        <x:v>0.1% VAF梯度稀释耗材</x:v>
      </x:c>
      <x:c r="E116" t="str">
        <x:v>批次</x:v>
      </x:c>
      <x:c r="F116" s="51" t="n">
        <x:v>1185.9442</x:v>
      </x:c>
      <x:c r="G116" s="51" t="n">
        <x:v>1152.7378</x:v>
      </x:c>
      <x:c r="H116" s="51" t="n">
        <x:v>1200</x:v>
      </x:c>
      <x:c r="I116" s="51" t="n">
        <x:v>500</x:v>
      </x:c>
      <x:c r="J116" s="51" t="n">
        <x:v>3000</x:v>
      </x:c>
      <x:c r="K116" s="65" t="n">
        <x:f>IF(F116=0,0,G116/F116-1)</x:f>
        <x:v>-0.027999968295304156</x:v>
      </x:c>
      <x:c r="L116" s="65" t="n">
        <x:f>IF(G116=0,0,H116/G116-1)</x:f>
        <x:v>0.04099995679850177</x:v>
      </x:c>
      <x:c r="M116" s="65" t="n">
        <x:f>IF(H116=0,0,(J116-I116)/H116)</x:f>
        <x:v>2.0833333333333335</x:v>
      </x:c>
      <x:c r="N116" s="60" t="n">
        <x:v>3</x:v>
      </x:c>
      <x:c r="O116" s="60" t="n">
        <x:v>3</x:v>
      </x:c>
      <x:c r="P116" s="60" t="n">
        <x:v>3</x:v>
      </x:c>
      <x:c r="Q116" s="60" t="n">
        <x:f>N116*20%+O116*30%+P116*50%</x:f>
        <x:v>3</x:v>
      </x:c>
      <x:c r="R116" s="12" t="str">
        <x:v>当前公开区间基准；2025按2026年6月PPI同比+4.1%回推，2024按2025上半年PPI-2.8%回推</x:v>
      </x:c>
      <x:c r="S116" s="12" t="str">
        <x:v>SRC-028, SRC-009, SRC-010, SRC-011</x:v>
      </x:c>
    </x:row>
    <x:row r="117">
      <x:c r="A117" t="str">
        <x:v>BOM-030</x:v>
      </x:c>
      <x:c r="B117" t="str">
        <x:v>BOM</x:v>
      </x:c>
      <x:c r="C117" t="str">
        <x:v>QC耗材</x:v>
      </x:c>
      <x:c r="D117" t="str">
        <x:v>温度、荧光、移液和称量校准材料</x:v>
      </x:c>
      <x:c r="E117" t="str">
        <x:v>年</x:v>
      </x:c>
      <x:c r="F117" s="51" t="n">
        <x:v>79062.946</x:v>
      </x:c>
      <x:c r="G117" s="51" t="n">
        <x:v>76849.1835</x:v>
      </x:c>
      <x:c r="H117" s="51" t="n">
        <x:v>80000</x:v>
      </x:c>
      <x:c r="I117" s="51" t="n">
        <x:v>30000</x:v>
      </x:c>
      <x:c r="J117" s="51" t="n">
        <x:v>180000</x:v>
      </x:c>
      <x:c r="K117" s="65" t="n">
        <x:f>IF(F117=0,0,G117/F117-1)</x:f>
        <x:v>-0.028000000151777726</x:v>
      </x:c>
      <x:c r="L117" s="65" t="n">
        <x:f>IF(G117=0,0,H117/G117-1)</x:f>
        <x:v>0.04099999969420631</x:v>
      </x:c>
      <x:c r="M117" s="65" t="n">
        <x:f>IF(H117=0,0,(J117-I117)/H117)</x:f>
        <x:v>1.875</x:v>
      </x:c>
      <x:c r="N117" s="60" t="n">
        <x:v>2</x:v>
      </x:c>
      <x:c r="O117" s="60" t="n">
        <x:v>2</x:v>
      </x:c>
      <x:c r="P117" s="60" t="n">
        <x:v>2</x:v>
      </x:c>
      <x:c r="Q117" s="60" t="n">
        <x:f>N117*20%+O117*30%+P117*50%</x:f>
        <x:v>2</x:v>
      </x:c>
      <x:c r="R117" s="12" t="str">
        <x:v>当前公开区间基准；2025按2026年6月PPI同比+4.1%回推，2024按2025上半年PPI-2.8%回推</x:v>
      </x:c>
      <x:c r="S117" s="12" t="str">
        <x:v>SRC-031, SRC-009, SRC-010, SRC-011</x:v>
      </x:c>
    </x:row>
    <x:row r="118">
      <x:c r="A118" t="str">
        <x:v>BOM-031</x:v>
      </x:c>
      <x:c r="B118" t="str">
        <x:v>BOM</x:v>
      </x:c>
      <x:c r="C118" t="str">
        <x:v>生产耗材</x:v>
      </x:c>
      <x:c r="D118" t="str">
        <x:v>吸头、离心管、样品管和移液槽</x:v>
      </x:c>
      <x:c r="E118" t="str">
        <x:v>盒</x:v>
      </x:c>
      <x:c r="F118" s="51" t="n">
        <x:v>177.8917</x:v>
      </x:c>
      <x:c r="G118" s="51" t="n">
        <x:v>172.9107</x:v>
      </x:c>
      <x:c r="H118" s="51" t="n">
        <x:v>180</x:v>
      </x:c>
      <x:c r="I118" s="51" t="n">
        <x:v>100</x:v>
      </x:c>
      <x:c r="J118" s="51" t="n">
        <x:v>400</x:v>
      </x:c>
      <x:c r="K118" s="65" t="n">
        <x:f>IF(F118=0,0,G118/F118-1)</x:f>
        <x:v>-0.0280001821332867</x:v>
      </x:c>
      <x:c r="L118" s="65" t="n">
        <x:f>IF(G118=0,0,H118/G118-1)</x:f>
        <x:v>0.04099977618504824</x:v>
      </x:c>
      <x:c r="M118" s="65" t="n">
        <x:f>IF(H118=0,0,(J118-I118)/H118)</x:f>
        <x:v>1.6666666666666667</x:v>
      </x:c>
      <x:c r="N118" s="60" t="n">
        <x:v>3</x:v>
      </x:c>
      <x:c r="O118" s="60" t="n">
        <x:v>4</x:v>
      </x:c>
      <x:c r="P118" s="60" t="n">
        <x:v>4</x:v>
      </x:c>
      <x:c r="Q118" s="60" t="n">
        <x:f>N118*20%+O118*30%+P118*50%</x:f>
        <x:v>3.8</x:v>
      </x:c>
      <x:c r="R118" s="12" t="str">
        <x:v>当前公开区间基准；2025按2026年6月PPI同比+4.1%回推，2024按2025上半年PPI-2.8%回推</x:v>
      </x:c>
      <x:c r="S118" s="12" t="str">
        <x:v>SRC-028, SRC-009, SRC-010, SRC-011</x:v>
      </x:c>
    </x:row>
    <x:row r="119">
      <x:c r="A119" t="str">
        <x:v>BOM-032</x:v>
      </x:c>
      <x:c r="B119" t="str">
        <x:v>BOM</x:v>
      </x:c>
      <x:c r="C119" t="str">
        <x:v>生产耗材</x:v>
      </x:c>
      <x:c r="D119" t="str">
        <x:v>洁净区清洁剂、消毒剂和擦拭材料</x:v>
      </x:c>
      <x:c r="E119" t="str">
        <x:v>月</x:v>
      </x:c>
      <x:c r="F119" s="51" t="n">
        <x:v>11859.4419</x:v>
      </x:c>
      <x:c r="G119" s="51" t="n">
        <x:v>11527.3775</x:v>
      </x:c>
      <x:c r="H119" s="51" t="n">
        <x:v>12000</x:v>
      </x:c>
      <x:c r="I119" s="51" t="n">
        <x:v>6000</x:v>
      </x:c>
      <x:c r="J119" s="51" t="n">
        <x:v>25000</x:v>
      </x:c>
      <x:c r="K119" s="65" t="n">
        <x:f>IF(F119=0,0,G119/F119-1)</x:f>
        <x:v>-0.028000002259802703</x:v>
      </x:c>
      <x:c r="L119" s="65" t="n">
        <x:f>IF(G119=0,0,H119/G119-1)</x:f>
        <x:v>0.04100000195187503</x:v>
      </x:c>
      <x:c r="M119" s="65" t="n">
        <x:f>IF(H119=0,0,(J119-I119)/H119)</x:f>
        <x:v>1.5833333333333333</x:v>
      </x:c>
      <x:c r="N119" s="60" t="n">
        <x:v>3</x:v>
      </x:c>
      <x:c r="O119" s="60" t="n">
        <x:v>3</x:v>
      </x:c>
      <x:c r="P119" s="60" t="n">
        <x:v>3</x:v>
      </x:c>
      <x:c r="Q119" s="60" t="n">
        <x:f>N119*20%+O119*30%+P119*50%</x:f>
        <x:v>3</x:v>
      </x:c>
      <x:c r="R119" s="12" t="str">
        <x:v>当前公开区间基准；2025按2026年6月PPI同比+4.1%回推，2024按2025上半年PPI-2.8%回推</x:v>
      </x:c>
      <x:c r="S119" s="12" t="str">
        <x:v>SRC-028, SRC-009, SRC-010, SRC-011</x:v>
      </x:c>
    </x:row>
    <x:row r="120">
      <x:c r="A120" t="str">
        <x:v>BOM-033</x:v>
      </x:c>
      <x:c r="B120" t="str">
        <x:v>BOM</x:v>
      </x:c>
      <x:c r="C120" t="str">
        <x:v>生产耗材</x:v>
      </x:c>
      <x:c r="D120" t="str">
        <x:v>洁净服、手套、口罩、鞋套</x:v>
      </x:c>
      <x:c r="E120" t="str">
        <x:v>人·年</x:v>
      </x:c>
      <x:c r="F120" s="51" t="n">
        <x:v>2470.7171</x:v>
      </x:c>
      <x:c r="G120" s="51" t="n">
        <x:v>2401.537</x:v>
      </x:c>
      <x:c r="H120" s="51" t="n">
        <x:v>2500</x:v>
      </x:c>
      <x:c r="I120" s="51" t="n">
        <x:v>1200</x:v>
      </x:c>
      <x:c r="J120" s="51" t="n">
        <x:v>5000</x:v>
      </x:c>
      <x:c r="K120" s="65" t="n">
        <x:f>IF(F120=0,0,G120/F120-1)</x:f>
        <x:v>-0.028000008580504887</x:v>
      </x:c>
      <x:c r="L120" s="65" t="n">
        <x:f>IF(G120=0,0,H120/G120-1)</x:f>
        <x:v>0.04099999292120016</x:v>
      </x:c>
      <x:c r="M120" s="65" t="n">
        <x:f>IF(H120=0,0,(J120-I120)/H120)</x:f>
        <x:v>1.52</x:v>
      </x:c>
      <x:c r="N120" s="60" t="n">
        <x:v>3</x:v>
      </x:c>
      <x:c r="O120" s="60" t="n">
        <x:v>3</x:v>
      </x:c>
      <x:c r="P120" s="60" t="n">
        <x:v>3</x:v>
      </x:c>
      <x:c r="Q120" s="60" t="n">
        <x:f>N120*20%+O120*30%+P120*50%</x:f>
        <x:v>3</x:v>
      </x:c>
      <x:c r="R120" s="12" t="str">
        <x:v>当前公开区间基准；2025按2026年6月PPI同比+4.1%回推，2024按2025上半年PPI-2.8%回推</x:v>
      </x:c>
      <x:c r="S120" s="12" t="str">
        <x:v>SRC-028, SRC-009, SRC-010, SRC-011</x:v>
      </x:c>
    </x:row>
    <x:row r="121">
      <x:c r="A121" t="str">
        <x:v>BOM-034</x:v>
      </x:c>
      <x:c r="B121" t="str">
        <x:v>BOM</x:v>
      </x:c>
      <x:c r="C121" t="str">
        <x:v>物流耗材</x:v>
      </x:c>
      <x:c r="D121" t="str">
        <x:v>保温箱、蓄冷剂、温度记录标签</x:v>
      </x:c>
      <x:c r="E121" t="str">
        <x:v>票</x:v>
      </x:c>
      <x:c r="F121" s="51" t="n">
        <x:v>34.59</x:v>
      </x:c>
      <x:c r="G121" s="51" t="n">
        <x:v>33.6215</x:v>
      </x:c>
      <x:c r="H121" s="51" t="n">
        <x:v>35</x:v>
      </x:c>
      <x:c r="I121" s="51" t="n">
        <x:v>18</x:v>
      </x:c>
      <x:c r="J121" s="51" t="n">
        <x:v>80</x:v>
      </x:c>
      <x:c r="K121" s="65" t="n">
        <x:f>IF(F121=0,0,G121/F121-1)</x:f>
        <x:v>-0.02799942179820769</x:v>
      </x:c>
      <x:c r="L121" s="65" t="n">
        <x:f>IF(G121=0,0,H121/G121-1)</x:f>
        <x:v>0.04100055024314808</x:v>
      </x:c>
      <x:c r="M121" s="65" t="n">
        <x:f>IF(H121=0,0,(J121-I121)/H121)</x:f>
        <x:v>1.7714285714285714</x:v>
      </x:c>
      <x:c r="N121" s="60" t="n">
        <x:v>3</x:v>
      </x:c>
      <x:c r="O121" s="60" t="n">
        <x:v>4</x:v>
      </x:c>
      <x:c r="P121" s="60" t="n">
        <x:v>4</x:v>
      </x:c>
      <x:c r="Q121" s="60" t="n">
        <x:f>N121*20%+O121*30%+P121*50%</x:f>
        <x:v>3.8</x:v>
      </x:c>
      <x:c r="R121" s="12" t="str">
        <x:v>当前公开区间基准；2025按2026年6月PPI同比+4.1%回推，2024按2025上半年PPI-2.8%回推</x:v>
      </x:c>
      <x:c r="S121" s="12" t="str">
        <x:v>SRC-028, SRC-009, SRC-010, SRC-011</x:v>
      </x:c>
    </x:row>
    <x:row r="122">
      <x:c r="A122" t="str">
        <x:v>BOM-035</x:v>
      </x:c>
      <x:c r="B122" t="str">
        <x:v>BOM</x:v>
      </x:c>
      <x:c r="C122" t="str">
        <x:v>记录耗材</x:v>
      </x:c>
      <x:c r="D122" t="str">
        <x:v>受控批记录、物料状态和留样标签</x:v>
      </x:c>
      <x:c r="E122" t="str">
        <x:v>批次</x:v>
      </x:c>
      <x:c r="F122" s="51" t="n">
        <x:v>79.063</x:v>
      </x:c>
      <x:c r="G122" s="51" t="n">
        <x:v>76.8492</x:v>
      </x:c>
      <x:c r="H122" s="51" t="n">
        <x:v>80</x:v>
      </x:c>
      <x:c r="I122" s="51" t="n">
        <x:v>30</x:v>
      </x:c>
      <x:c r="J122" s="51" t="n">
        <x:v>200</x:v>
      </x:c>
      <x:c r="K122" s="65" t="n">
        <x:f>IF(F122=0,0,G122/F122-1)</x:f>
        <x:v>-0.028000455333088925</x:v>
      </x:c>
      <x:c r="L122" s="65" t="n">
        <x:f>IF(G122=0,0,H122/G122-1)</x:f>
        <x:v>0.04099977618504824</x:v>
      </x:c>
      <x:c r="M122" s="65" t="n">
        <x:f>IF(H122=0,0,(J122-I122)/H122)</x:f>
        <x:v>2.125</x:v>
      </x:c>
      <x:c r="N122" s="60" t="n">
        <x:v>3</x:v>
      </x:c>
      <x:c r="O122" s="60" t="n">
        <x:v>3</x:v>
      </x:c>
      <x:c r="P122" s="60" t="n">
        <x:v>3</x:v>
      </x:c>
      <x:c r="Q122" s="60" t="n">
        <x:f>N122*20%+O122*30%+P122*50%</x:f>
        <x:v>3</x:v>
      </x:c>
      <x:c r="R122" s="12" t="str">
        <x:v>当前公开区间基准；2025按2026年6月PPI同比+4.1%回推，2024按2025上半年PPI-2.8%回推</x:v>
      </x:c>
      <x:c r="S122" s="12" t="str">
        <x:v>SRC-028, SRC-009, SRC-010, SRC-011</x:v>
      </x:c>
    </x:row>
    <x:row r="123">
      <x:c r="A123" t="str">
        <x:v>BOM-036</x:v>
      </x:c>
      <x:c r="B123" t="str">
        <x:v>BOM</x:v>
      </x:c>
      <x:c r="C123" t="str">
        <x:v>寡核苷酸</x:v>
      </x:c>
      <x:c r="D123" t="str">
        <x:v>H1辅助链（32 nt，无修饰）</x:v>
      </x:c>
      <x:c r="E123" t="str">
        <x:v>10 OD等效批</x:v>
      </x:c>
      <x:c r="F123" s="51" t="n">
        <x:v>180</x:v>
      </x:c>
      <x:c r="G123" s="51" t="n">
        <x:v>180</x:v>
      </x:c>
      <x:c r="H123" s="51" t="n">
        <x:v>180</x:v>
      </x:c>
      <x:c r="I123" s="51" t="n">
        <x:v>120</x:v>
      </x:c>
      <x:c r="J123" s="51" t="n">
        <x:v>350</x:v>
      </x:c>
      <x:c r="K123" s="65" t="n">
        <x:f>IF(F123=0,0,G123/F123-1)</x:f>
        <x:v>0</x:v>
      </x:c>
      <x:c r="L123" s="65" t="n">
        <x:f>IF(G123=0,0,H123/G123-1)</x:f>
        <x:v>0</x:v>
      </x:c>
      <x:c r="M123" s="65" t="n">
        <x:f>IF(H123=0,0,(J123-I123)/H123)</x:f>
        <x:v>1.2777777777777777</x:v>
      </x:c>
      <x:c r="N123" s="60" t="n">
        <x:v>2</x:v>
      </x:c>
      <x:c r="O123" s="60" t="n">
        <x:v>2</x:v>
      </x:c>
      <x:c r="P123" s="60" t="n">
        <x:v>3</x:v>
      </x:c>
      <x:c r="Q123" s="60" t="n">
        <x:f>N123*20%+O123*30%+P123*50%</x:f>
        <x:v>2.5</x:v>
      </x:c>
      <x:c r="R123" s="12" t="str">
        <x:v>普通寡核苷酸公开低价与厂商合成页面仅作锚点；2024/2025沿用当前10 OD代理，不用宏观PPI机械回推具体序列</x:v>
      </x:c>
      <x:c r="S123" s="12" t="str">
        <x:v>SRC-001, SRC-002, SRC-003, SRC-032, SRC-034, SRC-035, SRC-036</x:v>
      </x:c>
    </x:row>
    <x:row r="124">
      <x:c r="A124" t="str">
        <x:v>BOM-037</x:v>
      </x:c>
      <x:c r="B124" t="str">
        <x:v>BOM</x:v>
      </x:c>
      <x:c r="C124" t="str">
        <x:v>寡核苷酸</x:v>
      </x:c>
      <x:c r="D124" t="str">
        <x:v>H2辅助链（18 nt，无修饰）</x:v>
      </x:c>
      <x:c r="E124" t="str">
        <x:v>10 OD等效批</x:v>
      </x:c>
      <x:c r="F124" s="51" t="n">
        <x:v>180</x:v>
      </x:c>
      <x:c r="G124" s="51" t="n">
        <x:v>180</x:v>
      </x:c>
      <x:c r="H124" s="51" t="n">
        <x:v>180</x:v>
      </x:c>
      <x:c r="I124" s="51" t="n">
        <x:v>120</x:v>
      </x:c>
      <x:c r="J124" s="51" t="n">
        <x:v>350</x:v>
      </x:c>
      <x:c r="K124" s="65" t="n">
        <x:f>IF(F124=0,0,G124/F124-1)</x:f>
        <x:v>0</x:v>
      </x:c>
      <x:c r="L124" s="65" t="n">
        <x:f>IF(G124=0,0,H124/G124-1)</x:f>
        <x:v>0</x:v>
      </x:c>
      <x:c r="M124" s="65" t="n">
        <x:f>IF(H124=0,0,(J124-I124)/H124)</x:f>
        <x:v>1.2777777777777777</x:v>
      </x:c>
      <x:c r="N124" s="60" t="n">
        <x:v>2</x:v>
      </x:c>
      <x:c r="O124" s="60" t="n">
        <x:v>2</x:v>
      </x:c>
      <x:c r="P124" s="60" t="n">
        <x:v>3</x:v>
      </x:c>
      <x:c r="Q124" s="60" t="n">
        <x:f>N124*20%+O124*30%+P124*50%</x:f>
        <x:v>2.5</x:v>
      </x:c>
      <x:c r="R124" s="12" t="str">
        <x:v>普通寡核苷酸公开低价与厂商合成页面仅作锚点；2024/2025沿用当前10 OD代理，不用宏观PPI机械回推具体序列</x:v>
      </x:c>
      <x:c r="S124" s="12" t="str">
        <x:v>SRC-001, SRC-002, SRC-003, SRC-032, SRC-034, SRC-035, SRC-036</x:v>
      </x:c>
    </x:row>
    <x:row r="125">
      <x:c r="A125" t="str">
        <x:v>BOM-038</x:v>
      </x:c>
      <x:c r="B125" t="str">
        <x:v>BOM</x:v>
      </x:c>
      <x:c r="C125" t="str">
        <x:v>寡核苷酸</x:v>
      </x:c>
      <x:c r="D125" t="str">
        <x:v>H3辅助链（18 nt，无修饰）</x:v>
      </x:c>
      <x:c r="E125" t="str">
        <x:v>10 OD等效批</x:v>
      </x:c>
      <x:c r="F125" s="51" t="n">
        <x:v>180</x:v>
      </x:c>
      <x:c r="G125" s="51" t="n">
        <x:v>180</x:v>
      </x:c>
      <x:c r="H125" s="51" t="n">
        <x:v>180</x:v>
      </x:c>
      <x:c r="I125" s="51" t="n">
        <x:v>120</x:v>
      </x:c>
      <x:c r="J125" s="51" t="n">
        <x:v>350</x:v>
      </x:c>
      <x:c r="K125" s="65" t="n">
        <x:f>IF(F125=0,0,G125/F125-1)</x:f>
        <x:v>0</x:v>
      </x:c>
      <x:c r="L125" s="65" t="n">
        <x:f>IF(G125=0,0,H125/G125-1)</x:f>
        <x:v>0</x:v>
      </x:c>
      <x:c r="M125" s="65" t="n">
        <x:f>IF(H125=0,0,(J125-I125)/H125)</x:f>
        <x:v>1.2777777777777777</x:v>
      </x:c>
      <x:c r="N125" s="60" t="n">
        <x:v>2</x:v>
      </x:c>
      <x:c r="O125" s="60" t="n">
        <x:v>2</x:v>
      </x:c>
      <x:c r="P125" s="60" t="n">
        <x:v>3</x:v>
      </x:c>
      <x:c r="Q125" s="60" t="n">
        <x:f>N125*20%+O125*30%+P125*50%</x:f>
        <x:v>2.5</x:v>
      </x:c>
      <x:c r="R125" s="12" t="str">
        <x:v>普通寡核苷酸公开低价与厂商合成页面仅作锚点；2024/2025沿用当前10 OD代理，不用宏观PPI机械回推具体序列</x:v>
      </x:c>
      <x:c r="S125" s="12" t="str">
        <x:v>SRC-001, SRC-002, SRC-003, SRC-032, SRC-034, SRC-035, SRC-036</x:v>
      </x:c>
    </x:row>
    <x:row r="126">
      <x:c r="A126" t="str">
        <x:v>BOM-039</x:v>
      </x:c>
      <x:c r="B126" t="str">
        <x:v>BOM</x:v>
      </x:c>
      <x:c r="C126" t="str">
        <x:v>寡核苷酸</x:v>
      </x:c>
      <x:c r="D126" t="str">
        <x:v>H4辅助链（19 nt，无修饰）</x:v>
      </x:c>
      <x:c r="E126" t="str">
        <x:v>10 OD等效批</x:v>
      </x:c>
      <x:c r="F126" s="51" t="n">
        <x:v>180</x:v>
      </x:c>
      <x:c r="G126" s="51" t="n">
        <x:v>180</x:v>
      </x:c>
      <x:c r="H126" s="51" t="n">
        <x:v>180</x:v>
      </x:c>
      <x:c r="I126" s="51" t="n">
        <x:v>120</x:v>
      </x:c>
      <x:c r="J126" s="51" t="n">
        <x:v>350</x:v>
      </x:c>
      <x:c r="K126" s="65" t="n">
        <x:f>IF(F126=0,0,G126/F126-1)</x:f>
        <x:v>0</x:v>
      </x:c>
      <x:c r="L126" s="65" t="n">
        <x:f>IF(G126=0,0,H126/G126-1)</x:f>
        <x:v>0</x:v>
      </x:c>
      <x:c r="M126" s="65" t="n">
        <x:f>IF(H126=0,0,(J126-I126)/H126)</x:f>
        <x:v>1.2777777777777777</x:v>
      </x:c>
      <x:c r="N126" s="60" t="n">
        <x:v>2</x:v>
      </x:c>
      <x:c r="O126" s="60" t="n">
        <x:v>2</x:v>
      </x:c>
      <x:c r="P126" s="60" t="n">
        <x:v>3</x:v>
      </x:c>
      <x:c r="Q126" s="60" t="n">
        <x:f>N126*20%+O126*30%+P126*50%</x:f>
        <x:v>2.5</x:v>
      </x:c>
      <x:c r="R126" s="12" t="str">
        <x:v>普通寡核苷酸公开低价与厂商合成页面仅作锚点；2024/2025沿用当前10 OD代理，不用宏观PPI机械回推具体序列</x:v>
      </x:c>
      <x:c r="S126" s="12" t="str">
        <x:v>SRC-001, SRC-002, SRC-003, SRC-032, SRC-034, SRC-035, SRC-036</x:v>
      </x:c>
    </x:row>
    <x:row r="127">
      <x:c r="A127" t="str">
        <x:v>BOM-040</x:v>
      </x:c>
      <x:c r="B127" t="str">
        <x:v>BOM</x:v>
      </x:c>
      <x:c r="C127" t="str">
        <x:v>寡核苷酸</x:v>
      </x:c>
      <x:c r="D127" t="str">
        <x:v>H5辅助链（22 nt，无修饰）</x:v>
      </x:c>
      <x:c r="E127" t="str">
        <x:v>10 OD等效批</x:v>
      </x:c>
      <x:c r="F127" s="51" t="n">
        <x:v>180</x:v>
      </x:c>
      <x:c r="G127" s="51" t="n">
        <x:v>180</x:v>
      </x:c>
      <x:c r="H127" s="51" t="n">
        <x:v>180</x:v>
      </x:c>
      <x:c r="I127" s="51" t="n">
        <x:v>120</x:v>
      </x:c>
      <x:c r="J127" s="51" t="n">
        <x:v>350</x:v>
      </x:c>
      <x:c r="K127" s="65" t="n">
        <x:f>IF(F127=0,0,G127/F127-1)</x:f>
        <x:v>0</x:v>
      </x:c>
      <x:c r="L127" s="65" t="n">
        <x:f>IF(G127=0,0,H127/G127-1)</x:f>
        <x:v>0</x:v>
      </x:c>
      <x:c r="M127" s="65" t="n">
        <x:f>IF(H127=0,0,(J127-I127)/H127)</x:f>
        <x:v>1.2777777777777777</x:v>
      </x:c>
      <x:c r="N127" s="60" t="n">
        <x:v>2</x:v>
      </x:c>
      <x:c r="O127" s="60" t="n">
        <x:v>2</x:v>
      </x:c>
      <x:c r="P127" s="60" t="n">
        <x:v>3</x:v>
      </x:c>
      <x:c r="Q127" s="60" t="n">
        <x:f>N127*20%+O127*30%+P127*50%</x:f>
        <x:v>2.5</x:v>
      </x:c>
      <x:c r="R127" s="12" t="str">
        <x:v>普通寡核苷酸公开低价与厂商合成页面仅作锚点；2024/2025沿用当前10 OD代理，不用宏观PPI机械回推具体序列</x:v>
      </x:c>
      <x:c r="S127" s="12" t="str">
        <x:v>SRC-001, SRC-002, SRC-003, SRC-032, SRC-034, SRC-035, SRC-036</x:v>
      </x:c>
    </x:row>
    <x:row r="128">
      <x:c r="A128" t="str">
        <x:v>BOM-041</x:v>
      </x:c>
      <x:c r="B128" t="str">
        <x:v>BOM</x:v>
      </x:c>
      <x:c r="C128" t="str">
        <x:v>寡核苷酸</x:v>
      </x:c>
      <x:c r="D128" t="str">
        <x:v>H6辅助链（18 nt，无修饰）</x:v>
      </x:c>
      <x:c r="E128" t="str">
        <x:v>10 OD等效批</x:v>
      </x:c>
      <x:c r="F128" s="51" t="n">
        <x:v>180</x:v>
      </x:c>
      <x:c r="G128" s="51" t="n">
        <x:v>180</x:v>
      </x:c>
      <x:c r="H128" s="51" t="n">
        <x:v>180</x:v>
      </x:c>
      <x:c r="I128" s="51" t="n">
        <x:v>120</x:v>
      </x:c>
      <x:c r="J128" s="51" t="n">
        <x:v>350</x:v>
      </x:c>
      <x:c r="K128" s="65" t="n">
        <x:f>IF(F128=0,0,G128/F128-1)</x:f>
        <x:v>0</x:v>
      </x:c>
      <x:c r="L128" s="65" t="n">
        <x:f>IF(G128=0,0,H128/G128-1)</x:f>
        <x:v>0</x:v>
      </x:c>
      <x:c r="M128" s="65" t="n">
        <x:f>IF(H128=0,0,(J128-I128)/H128)</x:f>
        <x:v>1.2777777777777777</x:v>
      </x:c>
      <x:c r="N128" s="60" t="n">
        <x:v>2</x:v>
      </x:c>
      <x:c r="O128" s="60" t="n">
        <x:v>2</x:v>
      </x:c>
      <x:c r="P128" s="60" t="n">
        <x:v>3</x:v>
      </x:c>
      <x:c r="Q128" s="60" t="n">
        <x:f>N128*20%+O128*30%+P128*50%</x:f>
        <x:v>2.5</x:v>
      </x:c>
      <x:c r="R128" s="12" t="str">
        <x:v>普通寡核苷酸公开低价与厂商合成页面仅作锚点；2024/2025沿用当前10 OD代理，不用宏观PPI机械回推具体序列</x:v>
      </x:c>
      <x:c r="S128" s="12" t="str">
        <x:v>SRC-001, SRC-002, SRC-003, SRC-032, SRC-034, SRC-035, SRC-036</x:v>
      </x:c>
    </x:row>
    <x:row r="129">
      <x:c r="A129" t="str">
        <x:v>BOM-042</x:v>
      </x:c>
      <x:c r="B129" t="str">
        <x:v>BOM</x:v>
      </x:c>
      <x:c r="C129" t="str">
        <x:v>寡核苷酸</x:v>
      </x:c>
      <x:c r="D129" t="str">
        <x:v>H7辅助链（20 nt，无修饰）</x:v>
      </x:c>
      <x:c r="E129" t="str">
        <x:v>10 OD等效批</x:v>
      </x:c>
      <x:c r="F129" s="51" t="n">
        <x:v>180</x:v>
      </x:c>
      <x:c r="G129" s="51" t="n">
        <x:v>180</x:v>
      </x:c>
      <x:c r="H129" s="51" t="n">
        <x:v>180</x:v>
      </x:c>
      <x:c r="I129" s="51" t="n">
        <x:v>120</x:v>
      </x:c>
      <x:c r="J129" s="51" t="n">
        <x:v>350</x:v>
      </x:c>
      <x:c r="K129" s="65" t="n">
        <x:f>IF(F129=0,0,G129/F129-1)</x:f>
        <x:v>0</x:v>
      </x:c>
      <x:c r="L129" s="65" t="n">
        <x:f>IF(G129=0,0,H129/G129-1)</x:f>
        <x:v>0</x:v>
      </x:c>
      <x:c r="M129" s="65" t="n">
        <x:f>IF(H129=0,0,(J129-I129)/H129)</x:f>
        <x:v>1.2777777777777777</x:v>
      </x:c>
      <x:c r="N129" s="60" t="n">
        <x:v>2</x:v>
      </x:c>
      <x:c r="O129" s="60" t="n">
        <x:v>2</x:v>
      </x:c>
      <x:c r="P129" s="60" t="n">
        <x:v>3</x:v>
      </x:c>
      <x:c r="Q129" s="60" t="n">
        <x:f>N129*20%+O129*30%+P129*50%</x:f>
        <x:v>2.5</x:v>
      </x:c>
      <x:c r="R129" s="12" t="str">
        <x:v>普通寡核苷酸公开低价与厂商合成页面仅作锚点；2024/2025沿用当前10 OD代理，不用宏观PPI机械回推具体序列</x:v>
      </x:c>
      <x:c r="S129" s="12" t="str">
        <x:v>SRC-001, SRC-002, SRC-003, SRC-032, SRC-034, SRC-035, SRC-036</x:v>
      </x:c>
    </x:row>
    <x:row r="130">
      <x:c r="A130" t="str">
        <x:v>BOM-043</x:v>
      </x:c>
      <x:c r="B130" t="str">
        <x:v>BOM</x:v>
      </x:c>
      <x:c r="C130" t="str">
        <x:v>缓冲盐与稳定剂</x:v>
      </x:c>
      <x:c r="D130" t="str">
        <x:v>Tween-20分子生物学级</x:v>
      </x:c>
      <x:c r="E130" t="str">
        <x:v>L</x:v>
      </x:c>
      <x:c r="F130" s="51" t="n">
        <x:v>920</x:v>
      </x:c>
      <x:c r="G130" s="51" t="n">
        <x:v>950</x:v>
      </x:c>
      <x:c r="H130" s="51" t="n">
        <x:v>950</x:v>
      </x:c>
      <x:c r="I130" s="51" t="n">
        <x:v>400</x:v>
      </x:c>
      <x:c r="J130" s="51" t="n">
        <x:v>2500</x:v>
      </x:c>
      <x:c r="K130" s="65" t="n">
        <x:f>IF(F130=0,0,G130/F130-1)</x:f>
        <x:v>0.032608695652173836</x:v>
      </x:c>
      <x:c r="L130" s="65" t="n">
        <x:f>IF(G130=0,0,H130/G130-1)</x:f>
        <x:v>0</x:v>
      </x:c>
      <x:c r="M130" s="65" t="n">
        <x:f>IF(H130=0,0,(J130-I130)/H130)</x:f>
        <x:v>2.210526315789474</x:v>
      </x:c>
      <x:c r="N130" s="60" t="n">
        <x:v>3</x:v>
      </x:c>
      <x:c r="O130" s="60" t="n">
        <x:v>3</x:v>
      </x:c>
      <x:c r="P130" s="60" t="n">
        <x:v>4</x:v>
      </x:c>
      <x:c r="Q130" s="60" t="n">
        <x:f>N130*20%+O130*30%+P130*50%</x:f>
        <x:v>3.5</x:v>
      </x:c>
      <x:c r="R130" s="12"/>
      <x:c r="S130" s="12" t="str">
        <x:v>SRC-009, SRC-010, SRC-011, SRC-029, SRC-031, SRC-034, SRC-035</x:v>
      </x:c>
    </x:row>
  </x:sheetData>
  <x:mergeCells>
    <x:mergeCell ref="A1:S1"/>
    <x:mergeCell ref="A2:S2"/>
  </x:mergeCells>
  <x:conditionalFormatting sqref="Q5:Q130">
    <x:cfRule type="colorScale" priority="1">
      <x:colorScale>
        <x:cfvo type="min"/>
        <x:cfvo type="percentile" val="50"/>
        <x:cfvo type="max"/>
        <x:color rgb="FFF8BBD0"/>
        <x:color rgb="FFFFF9C4"/>
        <x:color rgb="FFC8E6C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3facbe2b9d45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5" hidden="0" customWidth="1"/>
    <x:col min="5" max="5" width="16" hidden="0" customWidth="1"/>
    <x:col min="6" max="6" width="16" hidden="0" customWidth="1"/>
    <x:col min="7" max="7" width="18" hidden="0" customWidth="1"/>
    <x:col min="8" max="8" width="17" hidden="0" customWidth="1"/>
    <x:col min="9" max="9" width="15" hidden="0" customWidth="1"/>
    <x:col min="10" max="10" width="13" hidden="0" customWidth="1"/>
    <x:col min="11" max="11" width="2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0" customHeight="1">
      <x:c r="A1" s="3" t="str">
        <x:v>现金流与单位成本敏感性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每一行只改变一个可见驱动；结果回接同一预算机制。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0" t="str">
        <x:v>敏感性结果</x:v>
      </x:c>
      <x:c r="B4" s="10"/>
      <x:c r="C4" s="10"/>
      <x:c r="D4" s="10"/>
      <x:c r="E4" s="10"/>
      <x:c r="F4" s="10"/>
      <x:c r="G4" s="10"/>
      <x:c r="H4" s="10"/>
      <x:c r="I4" s="10"/>
      <x:c r="J4" s="10"/>
    </x:row>
    <x:row r="5">
      <x:c r="A5" s="25" t="str">
        <x:v>驱动</x:v>
      </x:c>
      <x:c r="B5" s="26" t="str">
        <x:v>情形</x:v>
      </x:c>
      <x:c r="C5" s="26" t="str">
        <x:v>输入</x:v>
      </x:c>
      <x:c r="D5" s="26" t="str">
        <x:v>调整后产量</x:v>
      </x:c>
      <x:c r="E5" s="26" t="str">
        <x:v>调整后BOM</x:v>
      </x:c>
      <x:c r="F5" s="26" t="str">
        <x:v>调整后OPEX</x:v>
      </x:c>
      <x:c r="G5" s="26" t="str">
        <x:v>调整后CAPEX预备费</x:v>
      </x:c>
      <x:c r="H5" s="26" t="str">
        <x:v>首年资金</x:v>
      </x:c>
      <x:c r="I5" s="26" t="str">
        <x:v>单位成本</x:v>
      </x:c>
      <x:c r="J5" s="27" t="str">
        <x:v>变化率</x:v>
      </x:c>
    </x:row>
    <x:row r="6">
      <x:c r="A6" t="str">
        <x:v>产量</x:v>
      </x:c>
      <x:c r="B6" t="str">
        <x:v>-20%</x:v>
      </x:c>
      <x:c r="C6" s="89" t="n">
        <x:v>0.8</x:v>
      </x:c>
      <x:c r="D6" s="90" t="n">
        <x:f>ROUND('02_假设与情景'!$B$6*C6,0)</x:f>
        <x:v>40000</x:v>
      </x:c>
      <x:c r="E6" s="71" t="n">
        <x:f>ROUND('01_执行摘要'!$G$9*C6,0)</x:f>
        <x:v>5877731</x:v>
      </x:c>
      <x:c r="F6" s="71" t="n">
        <x:f>ROUND('01_执行摘要'!$D$9,0)</x:f>
        <x:v>13939700</x:v>
      </x:c>
      <x:c r="G6" s="71" t="n">
        <x:f>ROUND('01_执行摘要'!$A$11,0)</x:f>
        <x:v>1860360</x:v>
      </x:c>
      <x:c r="H6" s="71" t="n">
        <x:f>ROUND('01_执行摘要'!$A$9+F6+E6+G6+F6*'02_假设与情景'!$B$11+E6/12*'02_假设与情景'!$B$12,0)</x:f>
        <x:v>39275589</x:v>
      </x:c>
      <x:c r="I6" s="72" t="n">
        <x:f>ROUND((F6+E6)/D6,2)</x:f>
        <x:v>495.44</x:v>
      </x:c>
      <x:c r="J6" s="91" t="n">
        <x:f>ROUND(H6/'01_执行摘要'!$J$9-1,4)</x:f>
        <x:v>-0.0418</x:v>
      </x:c>
    </x:row>
    <x:row r="7">
      <x:c r="A7" t="str">
        <x:v>产量</x:v>
      </x:c>
      <x:c r="B7" t="str">
        <x:v>基准</x:v>
      </x:c>
      <x:c r="C7" s="89" t="n">
        <x:v>1</x:v>
      </x:c>
      <x:c r="D7" s="90" t="n">
        <x:f>ROUND('02_假设与情景'!$B$6*C7,0)</x:f>
        <x:v>50000</x:v>
      </x:c>
      <x:c r="E7" s="71" t="n">
        <x:f>ROUND('01_执行摘要'!$G$9*C7,0)</x:f>
        <x:v>7347164</x:v>
      </x:c>
      <x:c r="F7" s="71" t="n">
        <x:f>ROUND('01_执行摘要'!$D$9,0)</x:f>
        <x:v>13939700</x:v>
      </x:c>
      <x:c r="G7" s="71" t="n">
        <x:f>ROUND('01_执行摘要'!$A$11,0)</x:f>
        <x:v>1860360</x:v>
      </x:c>
      <x:c r="H7" s="71" t="n">
        <x:f>ROUND('01_执行摘要'!$A$9+F7+E7+G7+F7*'02_假设与情景'!$B$11+E7/12*'02_假设与情景'!$B$12,0)</x:f>
        <x:v>40989927</x:v>
      </x:c>
      <x:c r="I7" s="72" t="n">
        <x:f>ROUND((F7+E7)/D7,2)</x:f>
        <x:v>425.74</x:v>
      </x:c>
      <x:c r="J7" s="91" t="n">
        <x:f>ROUND(H7/'01_执行摘要'!$J$9-1,4)</x:f>
        <x:v>0</x:v>
      </x:c>
    </x:row>
    <x:row r="8">
      <x:c r="A8" t="str">
        <x:v>产量</x:v>
      </x:c>
      <x:c r="B8" t="str">
        <x:v>+20%</x:v>
      </x:c>
      <x:c r="C8" s="89" t="n">
        <x:v>1.2</x:v>
      </x:c>
      <x:c r="D8" s="90" t="n">
        <x:f>ROUND('02_假设与情景'!$B$6*C8,0)</x:f>
        <x:v>60000</x:v>
      </x:c>
      <x:c r="E8" s="71" t="n">
        <x:f>ROUND('01_执行摘要'!$G$9*C8,0)</x:f>
        <x:v>8816597</x:v>
      </x:c>
      <x:c r="F8" s="71" t="n">
        <x:f>ROUND('01_执行摘要'!$D$9,0)</x:f>
        <x:v>13939700</x:v>
      </x:c>
      <x:c r="G8" s="71" t="n">
        <x:f>ROUND('01_执行摘要'!$A$11,0)</x:f>
        <x:v>1860360</x:v>
      </x:c>
      <x:c r="H8" s="71" t="n">
        <x:f>ROUND('01_执行摘要'!$A$9+F8+E8+G8+F8*'02_假设与情景'!$B$11+E8/12*'02_假设与情景'!$B$12,0)</x:f>
        <x:v>42704266</x:v>
      </x:c>
      <x:c r="I8" s="72" t="n">
        <x:f>ROUND((F8+E8)/D8,2)</x:f>
        <x:v>379.27</x:v>
      </x:c>
      <x:c r="J8" s="91" t="n">
        <x:f>ROUND(H8/'01_执行摘要'!$J$9-1,4)</x:f>
        <x:v>0.0418</x:v>
      </x:c>
    </x:row>
    <x:row r="9">
      <x:c r="A9" t="str">
        <x:v>物料价格</x:v>
      </x:c>
      <x:c r="B9" t="str">
        <x:v>-10%</x:v>
      </x:c>
      <x:c r="C9" s="89" t="n">
        <x:v>0.9</x:v>
      </x:c>
      <x:c r="D9" s="90" t="n">
        <x:f>ROUND('02_假设与情景'!$B$6,0)</x:f>
        <x:v>50000</x:v>
      </x:c>
      <x:c r="E9" s="71" t="n">
        <x:f>ROUND('01_执行摘要'!$G$9*C9,0)</x:f>
        <x:v>6612448</x:v>
      </x:c>
      <x:c r="F9" s="71" t="n">
        <x:f>ROUND('01_执行摘要'!$D$9,0)</x:f>
        <x:v>13939700</x:v>
      </x:c>
      <x:c r="G9" s="71" t="n">
        <x:f>ROUND('01_执行摘要'!$A$11,0)</x:f>
        <x:v>1860360</x:v>
      </x:c>
      <x:c r="H9" s="71" t="n">
        <x:f>ROUND('01_执行摘要'!$A$9+F9+E9+G9+F9*'02_假设与情景'!$B$11+E9/12*'02_假设与情景'!$B$12,0)</x:f>
        <x:v>40132759</x:v>
      </x:c>
      <x:c r="I9" s="72" t="n">
        <x:f>ROUND((F9+E9)/D9,2)</x:f>
        <x:v>411.04</x:v>
      </x:c>
      <x:c r="J9" s="91" t="n">
        <x:f>ROUND(H9/'01_执行摘要'!$J$9-1,4)</x:f>
        <x:v>-0.0209</x:v>
      </x:c>
    </x:row>
    <x:row r="10">
      <x:c r="A10" t="str">
        <x:v>物料价格</x:v>
      </x:c>
      <x:c r="B10" t="str">
        <x:v>基准</x:v>
      </x:c>
      <x:c r="C10" s="89" t="n">
        <x:v>1</x:v>
      </x:c>
      <x:c r="D10" s="90" t="n">
        <x:f>ROUND('02_假设与情景'!$B$6,0)</x:f>
        <x:v>50000</x:v>
      </x:c>
      <x:c r="E10" s="71" t="n">
        <x:f>ROUND('01_执行摘要'!$G$9*C10,0)</x:f>
        <x:v>7347164</x:v>
      </x:c>
      <x:c r="F10" s="71" t="n">
        <x:f>ROUND('01_执行摘要'!$D$9,0)</x:f>
        <x:v>13939700</x:v>
      </x:c>
      <x:c r="G10" s="71" t="n">
        <x:f>ROUND('01_执行摘要'!$A$11,0)</x:f>
        <x:v>1860360</x:v>
      </x:c>
      <x:c r="H10" s="71" t="n">
        <x:f>ROUND('01_执行摘要'!$A$9+F10+E10+G10+F10*'02_假设与情景'!$B$11+E10/12*'02_假设与情景'!$B$12,0)</x:f>
        <x:v>40989927</x:v>
      </x:c>
      <x:c r="I10" s="72" t="n">
        <x:f>ROUND((F10+E10)/D10,2)</x:f>
        <x:v>425.74</x:v>
      </x:c>
      <x:c r="J10" s="91" t="n">
        <x:f>ROUND(H10/'01_执行摘要'!$J$9-1,4)</x:f>
        <x:v>0</x:v>
      </x:c>
    </x:row>
    <x:row r="11">
      <x:c r="A11" t="str">
        <x:v>物料价格</x:v>
      </x:c>
      <x:c r="B11" t="str">
        <x:v>+10%</x:v>
      </x:c>
      <x:c r="C11" s="89" t="n">
        <x:v>1.1</x:v>
      </x:c>
      <x:c r="D11" s="90" t="n">
        <x:f>ROUND('02_假设与情景'!$B$6,0)</x:f>
        <x:v>50000</x:v>
      </x:c>
      <x:c r="E11" s="71" t="n">
        <x:f>ROUND('01_执行摘要'!$G$9*C11,0)</x:f>
        <x:v>8081880</x:v>
      </x:c>
      <x:c r="F11" s="71" t="n">
        <x:f>ROUND('01_执行摘要'!$D$9,0)</x:f>
        <x:v>13939700</x:v>
      </x:c>
      <x:c r="G11" s="71" t="n">
        <x:f>ROUND('01_执行摘要'!$A$11,0)</x:f>
        <x:v>1860360</x:v>
      </x:c>
      <x:c r="H11" s="71" t="n">
        <x:f>ROUND('01_执行摘要'!$A$9+F11+E11+G11+F11*'02_假设与情景'!$B$11+E11/12*'02_假设与情景'!$B$12,0)</x:f>
        <x:v>41847096</x:v>
      </x:c>
      <x:c r="I11" s="72" t="n">
        <x:f>ROUND((F11+E11)/D11,2)</x:f>
        <x:v>440.43</x:v>
      </x:c>
      <x:c r="J11" s="91" t="n">
        <x:f>ROUND(H11/'01_执行摘要'!$J$9-1,4)</x:f>
        <x:v>0.0209</x:v>
      </x:c>
    </x:row>
    <x:row r="12">
      <x:c r="A12" t="str">
        <x:v>成品良率</x:v>
      </x:c>
      <x:c r="B12" t="str">
        <x:v>-5pct</x:v>
      </x:c>
      <x:c r="C12" s="89" t="n">
        <x:v>-0.05</x:v>
      </x:c>
      <x:c r="D12" s="90" t="n">
        <x:f>ROUND('02_假设与情景'!$B$6,0)</x:f>
        <x:v>50000</x:v>
      </x:c>
      <x:c r="E12" s="71" t="n">
        <x:f>ROUND('01_执行摘要'!$G$9*'02_假设与情景'!$B$8/('02_假设与情景'!$B$8+C12),0)</x:f>
        <x:v>7769415</x:v>
      </x:c>
      <x:c r="F12" s="71" t="n">
        <x:f>ROUND('01_执行摘要'!$D$9,0)</x:f>
        <x:v>13939700</x:v>
      </x:c>
      <x:c r="G12" s="71" t="n">
        <x:f>ROUND('01_执行摘要'!$A$11,0)</x:f>
        <x:v>1860360</x:v>
      </x:c>
      <x:c r="H12" s="71" t="n">
        <x:f>ROUND('01_执行摘要'!$A$9+F12+E12+G12+F12*'02_假设与情景'!$B$11+E12/12*'02_假设与情景'!$B$12,0)</x:f>
        <x:v>41482554</x:v>
      </x:c>
      <x:c r="I12" s="72" t="n">
        <x:f>ROUND((F12+E12)/D12,2)</x:f>
        <x:v>434.18</x:v>
      </x:c>
      <x:c r="J12" s="91" t="n">
        <x:f>ROUND(H12/'01_执行摘要'!$J$9-1,4)</x:f>
        <x:v>0.012</x:v>
      </x:c>
    </x:row>
    <x:row r="13">
      <x:c r="A13" t="str">
        <x:v>成品良率</x:v>
      </x:c>
      <x:c r="B13" t="str">
        <x:v>基准</x:v>
      </x:c>
      <x:c r="C13" s="89" t="n">
        <x:v>0</x:v>
      </x:c>
      <x:c r="D13" s="90" t="n">
        <x:f>ROUND('02_假设与情景'!$B$6,0)</x:f>
        <x:v>50000</x:v>
      </x:c>
      <x:c r="E13" s="71" t="n">
        <x:f>ROUND('01_执行摘要'!$G$9*'02_假设与情景'!$B$8/('02_假设与情景'!$B$8+C13),0)</x:f>
        <x:v>7347164</x:v>
      </x:c>
      <x:c r="F13" s="71" t="n">
        <x:f>ROUND('01_执行摘要'!$D$9,0)</x:f>
        <x:v>13939700</x:v>
      </x:c>
      <x:c r="G13" s="71" t="n">
        <x:f>ROUND('01_执行摘要'!$A$11,0)</x:f>
        <x:v>1860360</x:v>
      </x:c>
      <x:c r="H13" s="71" t="n">
        <x:f>ROUND('01_执行摘要'!$A$9+F13+E13+G13+F13*'02_假设与情景'!$B$11+E13/12*'02_假设与情景'!$B$12,0)</x:f>
        <x:v>40989927</x:v>
      </x:c>
      <x:c r="I13" s="72" t="n">
        <x:f>ROUND((F13+E13)/D13,2)</x:f>
        <x:v>425.74</x:v>
      </x:c>
      <x:c r="J13" s="91" t="n">
        <x:f>ROUND(H13/'01_执行摘要'!$J$9-1,4)</x:f>
        <x:v>0</x:v>
      </x:c>
    </x:row>
    <x:row r="14">
      <x:c r="A14" t="str">
        <x:v>成品良率</x:v>
      </x:c>
      <x:c r="B14" t="str">
        <x:v>+3pct</x:v>
      </x:c>
      <x:c r="C14" s="89" t="n">
        <x:v>0.03</x:v>
      </x:c>
      <x:c r="D14" s="90" t="n">
        <x:f>ROUND('02_假设与情景'!$B$6,0)</x:f>
        <x:v>50000</x:v>
      </x:c>
      <x:c r="E14" s="71" t="n">
        <x:f>ROUND('01_执行摘要'!$G$9*'02_假设与情景'!$B$8/('02_假设与情景'!$B$8+C14),0)</x:f>
        <x:v>7115148</x:v>
      </x:c>
      <x:c r="F14" s="71" t="n">
        <x:f>ROUND('01_执行摘要'!$D$9,0)</x:f>
        <x:v>13939700</x:v>
      </x:c>
      <x:c r="G14" s="71" t="n">
        <x:f>ROUND('01_执行摘要'!$A$11,0)</x:f>
        <x:v>1860360</x:v>
      </x:c>
      <x:c r="H14" s="71" t="n">
        <x:f>ROUND('01_执行摘要'!$A$9+F14+E14+G14+F14*'02_假设与情景'!$B$11+E14/12*'02_假设与情景'!$B$12,0)</x:f>
        <x:v>40719242</x:v>
      </x:c>
      <x:c r="I14" s="72" t="n">
        <x:f>ROUND((F14+E14)/D14,2)</x:f>
        <x:v>421.1</x:v>
      </x:c>
      <x:c r="J14" s="91" t="n">
        <x:f>ROUND(H14/'01_执行摘要'!$J$9-1,4)</x:f>
        <x:v>-0.0066</x:v>
      </x:c>
    </x:row>
    <x:row r="15">
      <x:c r="A15" t="str">
        <x:v>厂房面积/租金</x:v>
      </x:c>
      <x:c r="B15" t="str">
        <x:v>-20%</x:v>
      </x:c>
      <x:c r="C15" s="89" t="n">
        <x:v>0.8</x:v>
      </x:c>
      <x:c r="D15" s="90" t="n">
        <x:f>ROUND('02_假设与情景'!$B$6,0)</x:f>
        <x:v>50000</x:v>
      </x:c>
      <x:c r="E15" s="71" t="n">
        <x:f>ROUND('01_执行摘要'!$G$9,0)</x:f>
        <x:v>7347164</x:v>
      </x:c>
      <x:c r="F15" s="71" t="n">
        <x:f>ROUND('01_执行摘要'!$D$9+('04_OPEX年度运营'!$U$6*(C15-1)),0)</x:f>
        <x:v>13819220</x:v>
      </x:c>
      <x:c r="G15" s="71" t="n">
        <x:f>ROUND('01_执行摘要'!$A$11,0)</x:f>
        <x:v>1860360</x:v>
      </x:c>
      <x:c r="H15" s="71" t="n">
        <x:f>ROUND('01_执行摘要'!$A$9+F15+E15+G15+F15*'02_假设与情景'!$B$11+E15/12*'02_假设与情景'!$B$12,0)</x:f>
        <x:v>40859809</x:v>
      </x:c>
      <x:c r="I15" s="72" t="n">
        <x:f>ROUND((F15+E15)/D15,2)</x:f>
        <x:v>423.33</x:v>
      </x:c>
      <x:c r="J15" s="91" t="n">
        <x:f>ROUND(H15/'01_执行摘要'!$J$9-1,4)</x:f>
        <x:v>-0.0032</x:v>
      </x:c>
    </x:row>
    <x:row r="16">
      <x:c r="A16" t="str">
        <x:v>厂房面积/租金</x:v>
      </x:c>
      <x:c r="B16" t="str">
        <x:v>基准</x:v>
      </x:c>
      <x:c r="C16" s="89" t="n">
        <x:v>1</x:v>
      </x:c>
      <x:c r="D16" s="90" t="n">
        <x:f>ROUND('02_假设与情景'!$B$6,0)</x:f>
        <x:v>50000</x:v>
      </x:c>
      <x:c r="E16" s="71" t="n">
        <x:f>ROUND('01_执行摘要'!$G$9,0)</x:f>
        <x:v>7347164</x:v>
      </x:c>
      <x:c r="F16" s="71" t="n">
        <x:f>ROUND('01_执行摘要'!$D$9+('04_OPEX年度运营'!$U$6*(C16-1)),0)</x:f>
        <x:v>13939700</x:v>
      </x:c>
      <x:c r="G16" s="71" t="n">
        <x:f>ROUND('01_执行摘要'!$A$11,0)</x:f>
        <x:v>1860360</x:v>
      </x:c>
      <x:c r="H16" s="71" t="n">
        <x:f>ROUND('01_执行摘要'!$A$9+F16+E16+G16+F16*'02_假设与情景'!$B$11+E16/12*'02_假设与情景'!$B$12,0)</x:f>
        <x:v>40989927</x:v>
      </x:c>
      <x:c r="I16" s="72" t="n">
        <x:f>ROUND((F16+E16)/D16,2)</x:f>
        <x:v>425.74</x:v>
      </x:c>
      <x:c r="J16" s="91" t="n">
        <x:f>ROUND(H16/'01_执行摘要'!$J$9-1,4)</x:f>
        <x:v>0</x:v>
      </x:c>
    </x:row>
    <x:row r="17">
      <x:c r="A17" t="str">
        <x:v>厂房面积/租金</x:v>
      </x:c>
      <x:c r="B17" t="str">
        <x:v>+20%</x:v>
      </x:c>
      <x:c r="C17" s="89" t="n">
        <x:v>1.2</x:v>
      </x:c>
      <x:c r="D17" s="90" t="n">
        <x:f>ROUND('02_假设与情景'!$B$6,0)</x:f>
        <x:v>50000</x:v>
      </x:c>
      <x:c r="E17" s="71" t="n">
        <x:f>ROUND('01_执行摘要'!$G$9,0)</x:f>
        <x:v>7347164</x:v>
      </x:c>
      <x:c r="F17" s="71" t="n">
        <x:f>ROUND('01_执行摘要'!$D$9+('04_OPEX年度运营'!$U$6*(C17-1)),0)</x:f>
        <x:v>14060180</x:v>
      </x:c>
      <x:c r="G17" s="71" t="n">
        <x:f>ROUND('01_执行摘要'!$A$11,0)</x:f>
        <x:v>1860360</x:v>
      </x:c>
      <x:c r="H17" s="71" t="n">
        <x:f>ROUND('01_执行摘要'!$A$9+F17+E17+G17+F17*'02_假设与情景'!$B$11+E17/12*'02_假设与情景'!$B$12,0)</x:f>
        <x:v>41120046</x:v>
      </x:c>
      <x:c r="I17" s="72" t="n">
        <x:f>ROUND((F17+E17)/D17,2)</x:f>
        <x:v>428.15</x:v>
      </x:c>
      <x:c r="J17" s="91" t="n">
        <x:f>ROUND(H17/'01_执行摘要'!$J$9-1,4)</x:f>
        <x:v>0.0032</x:v>
      </x:c>
    </x:row>
    <x:row r="18">
      <x:c r="A18" t="str">
        <x:v>人工</x:v>
      </x:c>
      <x:c r="B18" t="str">
        <x:v>-10%</x:v>
      </x:c>
      <x:c r="C18" s="89" t="n">
        <x:v>0.9</x:v>
      </x:c>
      <x:c r="D18" s="90" t="n">
        <x:f>ROUND('02_假设与情景'!$B$6,0)</x:f>
        <x:v>50000</x:v>
      </x:c>
      <x:c r="E18" s="71" t="n">
        <x:f>ROUND('01_执行摘要'!$G$9,0)</x:f>
        <x:v>7347164</x:v>
      </x:c>
      <x:c r="F18" s="71" t="n">
        <x:f>ROUND('01_执行摘要'!$D$9+SUMIF('04_OPEX年度运营'!$B$6:$B$36,"人员",'04_OPEX年度运营'!$U$6:$U$36)*(C18-1),0)</x:f>
        <x:v>13171500</x:v>
      </x:c>
      <x:c r="G18" s="71" t="n">
        <x:f>ROUND('01_执行摘要'!$A$11,0)</x:f>
        <x:v>1860360</x:v>
      </x:c>
      <x:c r="H18" s="71" t="n">
        <x:f>ROUND('01_执行摘要'!$A$9+F18+E18+G18+F18*'02_假设与情景'!$B$11+E18/12*'02_假设与情景'!$B$12,0)</x:f>
        <x:v>40160271</x:v>
      </x:c>
      <x:c r="I18" s="72" t="n">
        <x:f>ROUND((F18+E18)/D18,2)</x:f>
        <x:v>410.37</x:v>
      </x:c>
      <x:c r="J18" s="91" t="n">
        <x:f>ROUND(H18/'01_执行摘要'!$J$9-1,4)</x:f>
        <x:v>-0.0202</x:v>
      </x:c>
    </x:row>
    <x:row r="19">
      <x:c r="A19" t="str">
        <x:v>人工</x:v>
      </x:c>
      <x:c r="B19" t="str">
        <x:v>基准</x:v>
      </x:c>
      <x:c r="C19" s="89" t="n">
        <x:v>1</x:v>
      </x:c>
      <x:c r="D19" s="90" t="n">
        <x:f>ROUND('02_假设与情景'!$B$6,0)</x:f>
        <x:v>50000</x:v>
      </x:c>
      <x:c r="E19" s="71" t="n">
        <x:f>ROUND('01_执行摘要'!$G$9,0)</x:f>
        <x:v>7347164</x:v>
      </x:c>
      <x:c r="F19" s="71" t="n">
        <x:f>ROUND('01_执行摘要'!$D$9+SUMIF('04_OPEX年度运营'!$B$6:$B$36,"人员",'04_OPEX年度运营'!$U$6:$U$36)*(C19-1),0)</x:f>
        <x:v>13939700</x:v>
      </x:c>
      <x:c r="G19" s="71" t="n">
        <x:f>ROUND('01_执行摘要'!$A$11,0)</x:f>
        <x:v>1860360</x:v>
      </x:c>
      <x:c r="H19" s="71" t="n">
        <x:f>ROUND('01_执行摘要'!$A$9+F19+E19+G19+F19*'02_假设与情景'!$B$11+E19/12*'02_假设与情景'!$B$12,0)</x:f>
        <x:v>40989927</x:v>
      </x:c>
      <x:c r="I19" s="72" t="n">
        <x:f>ROUND((F19+E19)/D19,2)</x:f>
        <x:v>425.74</x:v>
      </x:c>
      <x:c r="J19" s="91" t="n">
        <x:f>ROUND(H19/'01_执行摘要'!$J$9-1,4)</x:f>
        <x:v>0</x:v>
      </x:c>
    </x:row>
    <x:row r="20">
      <x:c r="A20" t="str">
        <x:v>人工</x:v>
      </x:c>
      <x:c r="B20" t="str">
        <x:v>+10%</x:v>
      </x:c>
      <x:c r="C20" s="89" t="n">
        <x:v>1.1</x:v>
      </x:c>
      <x:c r="D20" s="90" t="n">
        <x:f>ROUND('02_假设与情景'!$B$6,0)</x:f>
        <x:v>50000</x:v>
      </x:c>
      <x:c r="E20" s="71" t="n">
        <x:f>ROUND('01_执行摘要'!$G$9,0)</x:f>
        <x:v>7347164</x:v>
      </x:c>
      <x:c r="F20" s="71" t="n">
        <x:f>ROUND('01_执行摘要'!$D$9+SUMIF('04_OPEX年度运营'!$B$6:$B$36,"人员",'04_OPEX年度运营'!$U$6:$U$36)*(C20-1),0)</x:f>
        <x:v>14707900</x:v>
      </x:c>
      <x:c r="G20" s="71" t="n">
        <x:f>ROUND('01_执行摘要'!$A$11,0)</x:f>
        <x:v>1860360</x:v>
      </x:c>
      <x:c r="H20" s="71" t="n">
        <x:f>ROUND('01_执行摘要'!$A$9+F20+E20+G20+F20*'02_假设与情景'!$B$11+E20/12*'02_假设与情景'!$B$12,0)</x:f>
        <x:v>41819583</x:v>
      </x:c>
      <x:c r="I20" s="72" t="n">
        <x:f>ROUND((F20+E20)/D20,2)</x:f>
        <x:v>441.1</x:v>
      </x:c>
      <x:c r="J20" s="91" t="n">
        <x:f>ROUND(H20/'01_执行摘要'!$J$9-1,4)</x:f>
        <x:v>0.0202</x:v>
      </x:c>
    </x:row>
    <x:row r="21">
      <x:c r="A21" t="str">
        <x:v>CAPEX预备费</x:v>
      </x:c>
      <x:c r="B21" t="str">
        <x:v>-3pct</x:v>
      </x:c>
      <x:c r="C21" s="89" t="n">
        <x:v>-0.03</x:v>
      </x:c>
      <x:c r="D21" s="90" t="n">
        <x:f>ROUND('02_假设与情景'!$B$6,0)</x:f>
        <x:v>50000</x:v>
      </x:c>
      <x:c r="E21" s="71" t="n">
        <x:f>ROUND('01_执行摘要'!$G$9,0)</x:f>
        <x:v>7347164</x:v>
      </x:c>
      <x:c r="F21" s="71" t="n">
        <x:f>ROUND('01_执行摘要'!$D$9,0)</x:f>
        <x:v>13939700</x:v>
      </x:c>
      <x:c r="G21" s="71" t="n">
        <x:f>ROUND('01_执行摘要'!$A$9*('02_假设与情景'!$B$10+C21),0)</x:f>
        <x:v>1395270</x:v>
      </x:c>
      <x:c r="H21" s="71" t="n">
        <x:f>ROUND('01_执行摘要'!$A$9+F21+E21+G21+F21*'02_假设与情景'!$B$11+E21/12*'02_假设与情景'!$B$12,0)</x:f>
        <x:v>40524837</x:v>
      </x:c>
      <x:c r="I21" s="72" t="n">
        <x:f>ROUND((F21+E21)/D21,2)</x:f>
        <x:v>425.74</x:v>
      </x:c>
      <x:c r="J21" s="91" t="n">
        <x:f>ROUND(H21/'01_执行摘要'!$J$9-1,4)</x:f>
        <x:v>-0.0113</x:v>
      </x:c>
    </x:row>
    <x:row r="22">
      <x:c r="A22" t="str">
        <x:v>CAPEX预备费</x:v>
      </x:c>
      <x:c r="B22" t="str">
        <x:v>基准</x:v>
      </x:c>
      <x:c r="C22" s="89" t="n">
        <x:v>0</x:v>
      </x:c>
      <x:c r="D22" s="90" t="n">
        <x:f>ROUND('02_假设与情景'!$B$6,0)</x:f>
        <x:v>50000</x:v>
      </x:c>
      <x:c r="E22" s="71" t="n">
        <x:f>ROUND('01_执行摘要'!$G$9,0)</x:f>
        <x:v>7347164</x:v>
      </x:c>
      <x:c r="F22" s="71" t="n">
        <x:f>ROUND('01_执行摘要'!$D$9,0)</x:f>
        <x:v>13939700</x:v>
      </x:c>
      <x:c r="G22" s="71" t="n">
        <x:f>ROUND('01_执行摘要'!$A$9*('02_假设与情景'!$B$10+C22),0)</x:f>
        <x:v>1860360</x:v>
      </x:c>
      <x:c r="H22" s="71" t="n">
        <x:f>ROUND('01_执行摘要'!$A$9+F22+E22+G22+F22*'02_假设与情景'!$B$11+E22/12*'02_假设与情景'!$B$12,0)</x:f>
        <x:v>40989927</x:v>
      </x:c>
      <x:c r="I22" s="72" t="n">
        <x:f>ROUND((F22+E22)/D22,2)</x:f>
        <x:v>425.74</x:v>
      </x:c>
      <x:c r="J22" s="91" t="n">
        <x:f>ROUND(H22/'01_执行摘要'!$J$9-1,4)</x:f>
        <x:v>0</x:v>
      </x:c>
    </x:row>
    <x:row r="23">
      <x:c r="A23" t="str">
        <x:v>CAPEX预备费</x:v>
      </x:c>
      <x:c r="B23" t="str">
        <x:v>+3pct</x:v>
      </x:c>
      <x:c r="C23" s="89" t="n">
        <x:v>0.03</x:v>
      </x:c>
      <x:c r="D23" s="90" t="n">
        <x:f>ROUND('02_假设与情景'!$B$6,0)</x:f>
        <x:v>50000</x:v>
      </x:c>
      <x:c r="E23" s="71" t="n">
        <x:f>ROUND('01_执行摘要'!$G$9,0)</x:f>
        <x:v>7347164</x:v>
      </x:c>
      <x:c r="F23" s="71" t="n">
        <x:f>ROUND('01_执行摘要'!$D$9,0)</x:f>
        <x:v>13939700</x:v>
      </x:c>
      <x:c r="G23" s="71" t="n">
        <x:f>ROUND('01_执行摘要'!$A$9*('02_假设与情景'!$B$10+C23),0)</x:f>
        <x:v>2325450</x:v>
      </x:c>
      <x:c r="H23" s="71" t="n">
        <x:f>ROUND('01_执行摘要'!$A$9+F23+E23+G23+F23*'02_假设与情景'!$B$11+E23/12*'02_假设与情景'!$B$12,0)</x:f>
        <x:v>41455017</x:v>
      </x:c>
      <x:c r="I23" s="72" t="n">
        <x:f>ROUND((F23+E23)/D23,2)</x:f>
        <x:v>425.74</x:v>
      </x:c>
      <x:c r="J23" s="91" t="n">
        <x:f>ROUND(H23/'01_执行摘要'!$J$9-1,4)</x:f>
        <x:v>0.0113</x:v>
      </x:c>
    </x:row>
    <x:row r="24">
      <x:c r="K24" s="10" t="str">
        <x:v>非基准情景图表数据</x:v>
      </x:c>
      <x:c r="L24" s="10"/>
    </x:row>
    <x:row r="25">
      <x:c r="K25" s="25" t="str">
        <x:v>情景</x:v>
      </x:c>
      <x:c r="L25" s="27" t="str">
        <x:v>首年资金变化率</x:v>
      </x:c>
    </x:row>
    <x:row r="26">
      <x:c r="K26" s="31" t="str">
        <x:f>A6&amp;" "&amp;B6</x:f>
        <x:v>产量 -20%</x:v>
      </x:c>
      <x:c r="L26" s="91" t="n">
        <x:f>J6</x:f>
        <x:v>-0.0418</x:v>
      </x:c>
    </x:row>
    <x:row r="27">
      <x:c r="K27" s="31" t="str">
        <x:f>A8&amp;" "&amp;B8</x:f>
        <x:v>产量 +20%</x:v>
      </x:c>
      <x:c r="L27" s="91" t="n">
        <x:f>J8</x:f>
        <x:v>0.0418</x:v>
      </x:c>
    </x:row>
    <x:row r="28">
      <x:c r="K28" s="31" t="str">
        <x:f>A9&amp;" "&amp;B9</x:f>
        <x:v>物料价格 -10%</x:v>
      </x:c>
      <x:c r="L28" s="91" t="n">
        <x:f>J9</x:f>
        <x:v>-0.0209</x:v>
      </x:c>
    </x:row>
    <x:row r="29">
      <x:c r="K29" s="31" t="str">
        <x:f>A11&amp;" "&amp;B11</x:f>
        <x:v>物料价格 +10%</x:v>
      </x:c>
      <x:c r="L29" s="91" t="n">
        <x:f>J11</x:f>
        <x:v>0.0209</x:v>
      </x:c>
    </x:row>
    <x:row r="30">
      <x:c r="K30" s="31" t="str">
        <x:f>A12&amp;" "&amp;B12</x:f>
        <x:v>成品良率 -5pct</x:v>
      </x:c>
      <x:c r="L30" s="91" t="n">
        <x:f>J12</x:f>
        <x:v>0.012</x:v>
      </x:c>
    </x:row>
    <x:row r="31">
      <x:c r="K31" s="31" t="str">
        <x:f>A14&amp;" "&amp;B14</x:f>
        <x:v>成品良率 +3pct</x:v>
      </x:c>
      <x:c r="L31" s="91" t="n">
        <x:f>J14</x:f>
        <x:v>-0.0066</x:v>
      </x:c>
    </x:row>
    <x:row r="32">
      <x:c r="K32" s="31" t="str">
        <x:f>A15&amp;" "&amp;B15</x:f>
        <x:v>厂房面积/租金 -20%</x:v>
      </x:c>
      <x:c r="L32" s="91" t="n">
        <x:f>J15</x:f>
        <x:v>-0.0032</x:v>
      </x:c>
    </x:row>
    <x:row r="33">
      <x:c r="K33" s="31" t="str">
        <x:f>A17&amp;" "&amp;B17</x:f>
        <x:v>厂房面积/租金 +20%</x:v>
      </x:c>
      <x:c r="L33" s="91" t="n">
        <x:f>J17</x:f>
        <x:v>0.0032</x:v>
      </x:c>
    </x:row>
    <x:row r="34">
      <x:c r="K34" s="31" t="str">
        <x:f>A18&amp;" "&amp;B18</x:f>
        <x:v>人工 -10%</x:v>
      </x:c>
      <x:c r="L34" s="91" t="n">
        <x:f>J18</x:f>
        <x:v>-0.0202</x:v>
      </x:c>
    </x:row>
    <x:row r="35">
      <x:c r="K35" s="31" t="str">
        <x:f>A20&amp;" "&amp;B20</x:f>
        <x:v>人工 +10%</x:v>
      </x:c>
      <x:c r="L35" s="91" t="n">
        <x:f>J20</x:f>
        <x:v>0.0202</x:v>
      </x:c>
    </x:row>
    <x:row r="36">
      <x:c r="K36" s="31" t="str">
        <x:f>A21&amp;" "&amp;B21</x:f>
        <x:v>CAPEX预备费 -3pct</x:v>
      </x:c>
      <x:c r="L36" s="91" t="n">
        <x:f>J21</x:f>
        <x:v>-0.0113</x:v>
      </x:c>
    </x:row>
    <x:row r="37">
      <x:c r="K37" s="31" t="str">
        <x:f>A23&amp;" "&amp;B23</x:f>
        <x:v>CAPEX预备费 +3pct</x:v>
      </x:c>
      <x:c r="L37" s="91" t="n">
        <x:f>J23</x:f>
        <x:v>0.0113</x:v>
      </x:c>
    </x:row>
  </x:sheetData>
  <x:mergeCells>
    <x:mergeCell ref="A1:J1"/>
    <x:mergeCell ref="A2:J2"/>
    <x:mergeCell ref="A4:J4"/>
    <x:mergeCell ref="K24:L24"/>
  </x:mergeCells>
  <x:conditionalFormatting sqref="J6:J23">
    <x:cfRule type="colorScale" priority="1">
      <x:colorScale>
        <x:cfvo type="min"/>
        <x:cfvo type="percentile" val="50"/>
        <x:cfvo type="max"/>
        <x:color rgb="FFC8E6C9"/>
        <x:color rgb="FFFFF9C4"/>
        <x:color rgb="FFFFCDD2"/>
      </x:colorScale>
    </x:cfRule>
  </x:conditionalFormatting>
  <x:pageMargins left="0.7" right="0.7" top="0.75" bottom="0.75" header="0.3" footer="0.3"/>
  <x:drawing xmlns:r="http://schemas.openxmlformats.org/officeDocument/2006/relationships" r:id="R103515f80ac04b86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34" hidden="0" customWidth="1"/>
    <x:col min="5" max="5" width="15" hidden="0" customWidth="1"/>
    <x:col min="6" max="6" width="14" hidden="0" customWidth="1"/>
    <x:col min="7" max="7" width="10" hidden="0" customWidth="1"/>
    <x:col min="8" max="8" width="54" hidden="0" customWidth="1"/>
    <x:col min="9" max="9" width="48" hidden="0" customWidth="1"/>
    <x:col min="10" max="10" width="12" hidden="0" customWidth="1"/>
    <x:col min="11" max="11" width="16" hidden="0" customWidth="1"/>
    <x:col min="12" max="12" width="14" hidden="0" customWidth="1"/>
    <x:col min="13" max="13" width="12" hidden="0" customWidth="1"/>
    <x:col min="14" max="14" width="44" hidden="0" customWidth="1"/>
  </x:cols>
  <x:sheetData>
    <x:row r="1" ht="30" customHeight="1">
      <x:c r="A1" s="3" t="str">
        <x:v>来源审计与公开证据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URL 以纯文本保存；本地源文件和工程估算明确标识，不伪装为网络报价。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25" t="str">
        <x:v>来源ID</x:v>
      </x:c>
      <x:c r="B4" s="26" t="str">
        <x:v>类型</x:v>
      </x:c>
      <x:c r="C4" s="26" t="str">
        <x:v>发布方</x:v>
      </x:c>
      <x:c r="D4" s="26" t="str">
        <x:v>标题/产品</x:v>
      </x:c>
      <x:c r="E4" s="26" t="str">
        <x:v>价格日期</x:v>
      </x:c>
      <x:c r="F4" s="26" t="str">
        <x:v>访问日期</x:v>
      </x:c>
      <x:c r="G4" s="26" t="str">
        <x:v>可信度</x:v>
      </x:c>
      <x:c r="H4" s="26" t="str">
        <x:v>URL/本地路径</x:v>
      </x:c>
      <x:c r="I4" s="26" t="str">
        <x:v>证据与价格口径</x:v>
      </x:c>
      <x:c r="J4" s="26" t="str">
        <x:v>关联项目数</x:v>
      </x:c>
      <x:c r="K4" s="26" t="str">
        <x:v>S2金额敞口</x:v>
      </x:c>
      <x:c r="L4" s="26" t="str">
        <x:v>状态</x:v>
      </x:c>
      <x:c r="M4" s="26" t="str">
        <x:v>需复核</x:v>
      </x:c>
      <x:c r="N4" s="27" t="str">
        <x:v>备注</x:v>
      </x:c>
    </x:row>
    <x:row r="5">
      <x:c r="A5" t="str">
        <x:v>SRC-001</x:v>
      </x:c>
      <x:c r="B5" t="str">
        <x:v>用户提供流程文件</x:v>
      </x:c>
      <x:c r="C5" t="str">
        <x:v>用户</x:v>
      </x:c>
      <x:c r="D5" t="str">
        <x:v>整套生产流程（预估版）</x:v>
      </x:c>
      <x:c r="E5" t="str">
        <x:v>2026-08-05</x:v>
      </x:c>
      <x:c r="F5" t="str">
        <x:v>2026-08-17</x:v>
      </x:c>
      <x:c r="G5" s="53" t="n">
        <x:v>10</x:v>
      </x:c>
      <x:c r="H5" s="12" t="str">
        <x:v>daojin/整套生产流程（预估版）.docx</x:v>
      </x:c>
      <x:c r="I5" s="12" t="str">
        <x:v>厂房、设备、工艺、原辅料和质控范围依据；其中旧6链、遗漏PANDA Mix/NTC和仅3支DNA对照的描述，被最终设计与核心七管流程覆盖，不能作为分子采购或装盒契约</x:v>
      </x:c>
      <x:c r="J5" s="12" t="n">
        <x:v>15</x:v>
      </x:c>
      <x:c r="K5" s="67" t="n">
        <x:v>2519037.6</x:v>
      </x:c>
      <x:c r="L5" s="12" t="str">
        <x:v>本地源文件</x:v>
      </x:c>
      <x:c r="M5" s="12" t="str">
        <x:v>否</x:v>
      </x:c>
      <x:c r="N5" s="12" t="str">
        <x:v>厂房、设备、工艺、原辅料和质控范围依据；其中旧6链、遗漏PANDA Mix/NTC和仅3支DNA对照的描述，被最终设计与核心七管流程覆盖，不能作为分子采购或装盒契约</x:v>
      </x:c>
    </x:row>
    <x:row r="6">
      <x:c r="A6" t="str">
        <x:v>SRC-002</x:v>
      </x:c>
      <x:c r="B6" t="str">
        <x:v>厂商官方价目页</x:v>
      </x:c>
      <x:c r="C6" t="str">
        <x:v>生工生物</x:v>
      </x:c>
      <x:c r="D6" t="str">
        <x:v>DNA合成产品明细</x:v>
      </x:c>
      <x:c r="E6" t="str">
        <x:v>current</x:v>
      </x:c>
      <x:c r="F6" t="str">
        <x:v>2026-08-05</x:v>
      </x:c>
      <x:c r="G6" s="53" t="n">
        <x:v>8</x:v>
      </x:c>
      <x:c r="H6" s="12" t="str">
        <x:v>https://store.sangon.com/shopping/services_dna_price.html</x:v>
      </x:c>
      <x:c r="I6" s="12" t="str">
        <x:v>官方价格入口；网页访问受限，结合搜索索引和官方订购表交叉验证</x:v>
      </x:c>
      <x:c r="J6" s="12" t="n">
        <x:v>12</x:v>
      </x:c>
      <x:c r="K6" s="67" t="n">
        <x:v>2423037.6</x:v>
      </x:c>
      <x:c r="L6" s="12" t="str">
        <x:v>公开来源</x:v>
      </x:c>
      <x:c r="M6" s="12" t="str">
        <x:v>否</x:v>
      </x:c>
      <x:c r="N6" s="12" t="str">
        <x:v>官方价格入口；网页访问受限，结合搜索索引和官方订购表交叉验证</x:v>
      </x:c>
    </x:row>
    <x:row r="7">
      <x:c r="A7" t="str">
        <x:v>SRC-003</x:v>
      </x:c>
      <x:c r="B7" t="str">
        <x:v>厂商官方手册</x:v>
      </x:c>
      <x:c r="C7" t="str">
        <x:v>生工生物</x:v>
      </x:c>
      <x:c r="D7" t="str">
        <x:v>引物探针定制合成手册</x:v>
      </x:c>
      <x:c r="E7" t="str">
        <x:v>2021-07-16</x:v>
      </x:c>
      <x:c r="F7" t="str">
        <x:v>2026-08-05</x:v>
      </x:c>
      <x:c r="G7" s="53" t="n">
        <x:v>8</x:v>
      </x:c>
      <x:c r="H7" s="12" t="str">
        <x:v>https://static.sangon.com/sangon/static/%E5%BC%95%E7%89%A9%E5%AE%9A%E5%88%B6%E5%90%88%E6%88%90%E6%89%8B%E5%86%8C.pdf</x:v>
      </x:c>
      <x:c r="I7" s="12" t="str">
        <x:v>合成、纯化、修饰和质量规格依据；价格需正式询价</x:v>
      </x:c>
      <x:c r="J7" s="12" t="n">
        <x:v>12</x:v>
      </x:c>
      <x:c r="K7" s="67" t="n">
        <x:v>2423037.6</x:v>
      </x:c>
      <x:c r="L7" s="12" t="str">
        <x:v>公开来源</x:v>
      </x:c>
      <x:c r="M7" s="12" t="str">
        <x:v>否</x:v>
      </x:c>
      <x:c r="N7" s="12" t="str">
        <x:v>合成、纯化、修饰和质量规格依据；价格需正式询价</x:v>
      </x:c>
    </x:row>
    <x:row r="8">
      <x:c r="A8" t="str">
        <x:v>SRC-004</x:v>
      </x:c>
      <x:c r="B8" t="str">
        <x:v>厂商服务页</x:v>
      </x:c>
      <x:c r="C8" t="str">
        <x:v>碧云天</x:v>
      </x:c>
      <x:c r="D8" t="str">
        <x:v>引物合成 0.5元/nt起</x:v>
      </x:c>
      <x:c r="E8" t="str">
        <x:v>2025</x:v>
      </x:c>
      <x:c r="F8" t="str">
        <x:v>2026-08-05</x:v>
      </x:c>
      <x:c r="G8" s="53" t="n">
        <x:v>6</x:v>
      </x:c>
      <x:c r="H8" s="12" t="str">
        <x:v>https://r.beyotime.com/support/Primer%20synthesis.htm</x:v>
      </x:c>
      <x:c r="I8" s="12" t="str">
        <x:v>普通微量引物公开低价锚点，不等同工业级RP-HPLC和荧光修饰</x:v>
      </x:c>
      <x:c r="J8" s="12" t="n">
        <x:v>0</x:v>
      </x:c>
      <x:c r="K8" s="67" t="n">
        <x:v>0</x:v>
      </x:c>
      <x:c r="L8" s="12" t="str">
        <x:v>公开来源</x:v>
      </x:c>
      <x:c r="M8" s="12" t="str">
        <x:v>否</x:v>
      </x:c>
      <x:c r="N8" s="12" t="str">
        <x:v>普通微量引物公开低价锚点，不等同工业级RP-HPLC和荧光修饰</x:v>
      </x:c>
    </x:row>
    <x:row r="9">
      <x:c r="A9" t="str">
        <x:v>SRC-005</x:v>
      </x:c>
      <x:c r="B9" t="str">
        <x:v>服务商页面</x:v>
      </x:c>
      <x:c r="C9" t="str">
        <x:v>沃诺生物</x:v>
      </x:c>
      <x:c r="D9" t="str">
        <x:v>引物合成低至0.8元/bp</x:v>
      </x:c>
      <x:c r="E9" t="str">
        <x:v>current</x:v>
      </x:c>
      <x:c r="F9" t="str">
        <x:v>2026-08-05</x:v>
      </x:c>
      <x:c r="G9" s="53" t="n">
        <x:v>4</x:v>
      </x:c>
      <x:c r="H9" s="12" t="str">
        <x:v>https://vonuobio.com/col.jsp?id=109</x:v>
      </x:c>
      <x:c r="I9" s="12" t="str">
        <x:v>普通引物市场下限交叉验证</x:v>
      </x:c>
      <x:c r="J9" s="12" t="n">
        <x:v>0</x:v>
      </x:c>
      <x:c r="K9" s="67" t="n">
        <x:v>0</x:v>
      </x:c>
      <x:c r="L9" s="12" t="str">
        <x:v>公开来源</x:v>
      </x:c>
      <x:c r="M9" s="12" t="str">
        <x:v>是</x:v>
      </x:c>
      <x:c r="N9" s="12" t="str">
        <x:v>普通引物市场下限交叉验证</x:v>
      </x:c>
    </x:row>
    <x:row r="10">
      <x:c r="A10" t="str">
        <x:v>SRC-006</x:v>
      </x:c>
      <x:c r="B10" t="str">
        <x:v>政府采购公告</x:v>
      </x:c>
      <x:c r="C10" t="str">
        <x:v>中国政府采购网</x:v>
      </x:c>
      <x:c r="D10" t="str">
        <x:v>2025年度引物探针合成和测序服务项目</x:v>
      </x:c>
      <x:c r="E10" t="str">
        <x:v>2025-10-21</x:v>
      </x:c>
      <x:c r="F10" t="str">
        <x:v>2026-08-05</x:v>
      </x:c>
      <x:c r="G10" s="53" t="n">
        <x:v>7</x:v>
      </x:c>
      <x:c r="H10" s="12" t="str">
        <x:v>https://www.ccgp.gov.cn/cggg/zygg/zbgg/202510/t20251021_25544442.htm</x:v>
      </x:c>
      <x:c r="I10" s="12" t="str">
        <x:v>服务采购可比性依据；单条规格和工业交付条件仍需询价</x:v>
      </x:c>
      <x:c r="J10" s="12" t="n">
        <x:v>3</x:v>
      </x:c>
      <x:c r="K10" s="67" t="n">
        <x:v>1650000</x:v>
      </x:c>
      <x:c r="L10" s="12" t="str">
        <x:v>公开来源</x:v>
      </x:c>
      <x:c r="M10" s="12" t="str">
        <x:v>否</x:v>
      </x:c>
      <x:c r="N10" s="12" t="str">
        <x:v>服务采购可比性依据；单条规格和工业交付条件仍需询价</x:v>
      </x:c>
    </x:row>
    <x:row r="11">
      <x:c r="A11" t="str">
        <x:v>SRC-007</x:v>
      </x:c>
      <x:c r="B11" t="str">
        <x:v>厂商产品页</x:v>
      </x:c>
      <x:c r="C11" t="str">
        <x:v>翌圣生物</x:v>
      </x:c>
      <x:c r="D11" t="str">
        <x:v>HotStart Taq DNA Polymerase</x:v>
      </x:c>
      <x:c r="E11" t="str">
        <x:v>current</x:v>
      </x:c>
      <x:c r="F11" t="str">
        <x:v>2026-08-05</x:v>
      </x:c>
      <x:c r="G11" s="53" t="n">
        <x:v>6</x:v>
      </x:c>
      <x:c r="H11" s="12" t="str">
        <x:v>https://www.yeasen.com/products/detail/13402</x:v>
      </x:c>
      <x:c r="I11" s="12" t="str">
        <x:v>产品身份和规格来源；公开渠道价格区间交叉验证</x:v>
      </x:c>
      <x:c r="J11" s="12" t="n">
        <x:v>2</x:v>
      </x:c>
      <x:c r="K11" s="67" t="n">
        <x:v>1730700</x:v>
      </x:c>
      <x:c r="L11" s="12" t="str">
        <x:v>公开来源</x:v>
      </x:c>
      <x:c r="M11" s="12" t="str">
        <x:v>否</x:v>
      </x:c>
      <x:c r="N11" s="12" t="str">
        <x:v>产品身份和规格来源；公开渠道价格区间交叉验证</x:v>
      </x:c>
    </x:row>
    <x:row r="12">
      <x:c r="A12" t="str">
        <x:v>SRC-008</x:v>
      </x:c>
      <x:c r="B12" t="str">
        <x:v>厂商产品页</x:v>
      </x:c>
      <x:c r="C12" t="str">
        <x:v>诺唯赞</x:v>
      </x:c>
      <x:c r="D12" t="str">
        <x:v>dNTP Mix (10 mM each) P031-01</x:v>
      </x:c>
      <x:c r="E12" t="str">
        <x:v>current</x:v>
      </x:c>
      <x:c r="F12" t="str">
        <x:v>2026-08-05</x:v>
      </x:c>
      <x:c r="G12" s="53" t="n">
        <x:v>6</x:v>
      </x:c>
      <x:c r="H12" s="12" t="str">
        <x:v>https://bio.vazyme.com/product/25.html</x:v>
      </x:c>
      <x:c r="I12" s="12" t="str">
        <x:v>规格与质量信息；价格使用市场区间</x:v>
      </x:c>
      <x:c r="J12" s="12" t="n">
        <x:v>2</x:v>
      </x:c>
      <x:c r="K12" s="67" t="n">
        <x:v>658510</x:v>
      </x:c>
      <x:c r="L12" s="12" t="str">
        <x:v>公开来源</x:v>
      </x:c>
      <x:c r="M12" s="12" t="str">
        <x:v>否</x:v>
      </x:c>
      <x:c r="N12" s="12" t="str">
        <x:v>规格与质量信息；价格使用市场区间</x:v>
      </x:c>
    </x:row>
    <x:row r="13">
      <x:c r="A13" t="str">
        <x:v>SRC-009</x:v>
      </x:c>
      <x:c r="B13" t="str">
        <x:v>官方统计</x:v>
      </x:c>
      <x:c r="C13" t="str">
        <x:v>国家统计局</x:v>
      </x:c>
      <x:c r="D13" t="str">
        <x:v>2024年12月份工业生产者出厂价格</x:v>
      </x:c>
      <x:c r="E13" t="str">
        <x:v>2024</x:v>
      </x:c>
      <x:c r="F13" t="str">
        <x:v>2026-08-05</x:v>
      </x:c>
      <x:c r="G13" s="53" t="n">
        <x:v>9</x:v>
      </x:c>
      <x:c r="H13" s="12" t="str">
        <x:v>https://www.stats.gov.cn/sj/zxfb/202501/t20250109_1958169.html</x:v>
      </x:c>
      <x:c r="I13" s="12" t="str">
        <x:v>2024全年PPI和购进价格均下降2.2%</x:v>
      </x:c>
      <x:c r="J13" s="12" t="n">
        <x:v>93</x:v>
      </x:c>
      <x:c r="K13" s="67" t="n">
        <x:v>22984901.506869998</x:v>
      </x:c>
      <x:c r="L13" s="12" t="str">
        <x:v>公开来源</x:v>
      </x:c>
      <x:c r="M13" s="12" t="str">
        <x:v>否</x:v>
      </x:c>
      <x:c r="N13" s="12" t="str">
        <x:v>2024全年PPI和购进价格均下降2.2%</x:v>
      </x:c>
    </x:row>
    <x:row r="14">
      <x:c r="A14" t="str">
        <x:v>SRC-010</x:v>
      </x:c>
      <x:c r="B14" t="str">
        <x:v>官方统计</x:v>
      </x:c>
      <x:c r="C14" t="str">
        <x:v>国家统计局</x:v>
      </x:c>
      <x:c r="D14" t="str">
        <x:v>2025年6月份工业生产者出厂价格</x:v>
      </x:c>
      <x:c r="E14" t="str">
        <x:v>2025-H1</x:v>
      </x:c>
      <x:c r="F14" t="str">
        <x:v>2026-08-05</x:v>
      </x:c>
      <x:c r="G14" s="53" t="n">
        <x:v>9</x:v>
      </x:c>
      <x:c r="H14" s="12" t="str">
        <x:v>https://www.stats.gov.cn/sj/zxfb/202507/t20250709_1960367.html</x:v>
      </x:c>
      <x:c r="I14" s="12" t="str">
        <x:v>2025上半年PPI同比下降2.8%，用于无直接历史报价时的低可信回推</x:v>
      </x:c>
      <x:c r="J14" s="12" t="n">
        <x:v>93</x:v>
      </x:c>
      <x:c r="K14" s="67" t="n">
        <x:v>22984901.506869998</x:v>
      </x:c>
      <x:c r="L14" s="12" t="str">
        <x:v>公开来源</x:v>
      </x:c>
      <x:c r="M14" s="12" t="str">
        <x:v>否</x:v>
      </x:c>
      <x:c r="N14" s="12" t="str">
        <x:v>2025上半年PPI同比下降2.8%，用于无直接历史报价时的低可信回推</x:v>
      </x:c>
    </x:row>
    <x:row r="15">
      <x:c r="A15" t="str">
        <x:v>SRC-011</x:v>
      </x:c>
      <x:c r="B15" t="str">
        <x:v>官方统计</x:v>
      </x:c>
      <x:c r="C15" t="str">
        <x:v>国家统计局</x:v>
      </x:c>
      <x:c r="D15" t="str">
        <x:v>2026年6月份工业生产者出厂价格</x:v>
      </x:c>
      <x:c r="E15" t="str">
        <x:v>2026-06</x:v>
      </x:c>
      <x:c r="F15" t="str">
        <x:v>2026-08-05</x:v>
      </x:c>
      <x:c r="G15" s="53" t="n">
        <x:v>9</x:v>
      </x:c>
      <x:c r="H15" s="12" t="str">
        <x:v>https://www.stats.gov.cn/sj/zxfb/202607/t20260709_1964083.html</x:v>
      </x:c>
      <x:c r="I15" s="12" t="str">
        <x:v>2026年6月PPI同比上涨4.1%，仅作类别回推，不代表具体产品</x:v>
      </x:c>
      <x:c r="J15" s="12" t="n">
        <x:v>93</x:v>
      </x:c>
      <x:c r="K15" s="67" t="n">
        <x:v>22984901.506869998</x:v>
      </x:c>
      <x:c r="L15" s="12" t="str">
        <x:v>公开来源</x:v>
      </x:c>
      <x:c r="M15" s="12" t="str">
        <x:v>否</x:v>
      </x:c>
      <x:c r="N15" s="12" t="str">
        <x:v>2026年6月PPI同比上涨4.1%，仅作类别回推，不代表具体产品</x:v>
      </x:c>
    </x:row>
    <x:row r="16">
      <x:c r="A16" t="str">
        <x:v>SRC-012</x:v>
      </x:c>
      <x:c r="B16" t="str">
        <x:v>政府政策问答</x:v>
      </x:c>
      <x:c r="C16" t="str">
        <x:v>四川省发展和改革委员会</x:v>
      </x:c>
      <x:c r="D16" t="str">
        <x:v>2025年全省工商业用电均价</x:v>
      </x:c>
      <x:c r="E16" t="str">
        <x:v>2025</x:v>
      </x:c>
      <x:c r="F16" t="str">
        <x:v>2026-08-05</x:v>
      </x:c>
      <x:c r="G16" s="53" t="n">
        <x:v>9</x:v>
      </x:c>
      <x:c r="H16" s="12" t="str">
        <x:v>https://fgw.sc.gov.cn/sfgw/c108123/2026/2/10/6c445d2958264edf83af7761b6e1e602.shtml</x:v>
      </x:c>
      <x:c r="I16" s="12" t="str">
        <x:v>2025全省工商业用电均价0.57元/kWh、大工业0.52元/kWh</x:v>
      </x:c>
      <x:c r="J16" s="12" t="n">
        <x:v>3</x:v>
      </x:c>
      <x:c r="K16" s="67" t="n">
        <x:v>424800</x:v>
      </x:c>
      <x:c r="L16" s="12" t="str">
        <x:v>公开来源</x:v>
      </x:c>
      <x:c r="M16" s="12" t="str">
        <x:v>否</x:v>
      </x:c>
      <x:c r="N16" s="12" t="str">
        <x:v>2025全省工商业用电均价0.57元/kWh、大工业0.52元/kWh</x:v>
      </x:c>
    </x:row>
    <x:row r="17">
      <x:c r="A17" t="str">
        <x:v>SRC-013</x:v>
      </x:c>
      <x:c r="B17" t="str">
        <x:v>官方统计</x:v>
      </x:c>
      <x:c r="C17" t="str">
        <x:v>成都市统计局</x:v>
      </x:c>
      <x:c r="D17" t="str">
        <x:v>2024年城镇单位就业人员年平均工资</x:v>
      </x:c>
      <x:c r="E17" t="str">
        <x:v>2024</x:v>
      </x:c>
      <x:c r="F17" t="str">
        <x:v>2026-08-05</x:v>
      </x:c>
      <x:c r="G17" s="53" t="n">
        <x:v>9</x:v>
      </x:c>
      <x:c r="H17" s="12" t="str">
        <x:v>https://www.chengdu.gov.cn/cdsrmzf/c167426/2025-07/14/content_094e39fc926149e084e5729835800efe.shtml</x:v>
      </x:c>
      <x:c r="I17" s="12" t="str">
        <x:v>城镇非私营单位125512元/年</x:v>
      </x:c>
      <x:c r="J17" s="12" t="n">
        <x:v>8</x:v>
      </x:c>
      <x:c r="K17" s="67" t="n">
        <x:v>7520000</x:v>
      </x:c>
      <x:c r="L17" s="12" t="str">
        <x:v>公开来源</x:v>
      </x:c>
      <x:c r="M17" s="12" t="str">
        <x:v>否</x:v>
      </x:c>
      <x:c r="N17" s="12" t="str">
        <x:v>城镇非私营单位125512元/年</x:v>
      </x:c>
    </x:row>
    <x:row r="18">
      <x:c r="A18" t="str">
        <x:v>SRC-014</x:v>
      </x:c>
      <x:c r="B18" t="str">
        <x:v>官方统计</x:v>
      </x:c>
      <x:c r="C18" t="str">
        <x:v>成都市统计局</x:v>
      </x:c>
      <x:c r="D18" t="str">
        <x:v>2025年城镇单位就业人员年平均工资</x:v>
      </x:c>
      <x:c r="E18" t="str">
        <x:v>2025</x:v>
      </x:c>
      <x:c r="F18" t="str">
        <x:v>2026-08-05</x:v>
      </x:c>
      <x:c r="G18" s="53" t="n">
        <x:v>9</x:v>
      </x:c>
      <x:c r="H18" s="12" t="str">
        <x:v>https://cdstats.chengdu.gov.cn/cdstjj/c154738/2026-07/06/content_01a397f363af49aa974213b93aa17e2e.shtml</x:v>
      </x:c>
      <x:c r="I18" s="12" t="str">
        <x:v>城镇非私营单位131874元/年，同比增长5.1%</x:v>
      </x:c>
      <x:c r="J18" s="12" t="n">
        <x:v>8</x:v>
      </x:c>
      <x:c r="K18" s="67" t="n">
        <x:v>7520000</x:v>
      </x:c>
      <x:c r="L18" s="12" t="str">
        <x:v>公开来源</x:v>
      </x:c>
      <x:c r="M18" s="12" t="str">
        <x:v>否</x:v>
      </x:c>
      <x:c r="N18" s="12" t="str">
        <x:v>城镇非私营单位131874元/年，同比增长5.1%</x:v>
      </x:c>
    </x:row>
    <x:row r="19">
      <x:c r="A19" t="str">
        <x:v>SRC-015</x:v>
      </x:c>
      <x:c r="B19" t="str">
        <x:v>园区招商信息</x:v>
      </x:c>
      <x:c r="C19" t="str">
        <x:v>成都生物城建设集团</x:v>
      </x:c>
      <x:c r="D19" t="str">
        <x:v>成都天府国际生物城招商推介</x:v>
      </x:c>
      <x:c r="E19" t="str">
        <x:v>2024-04-24</x:v>
      </x:c>
      <x:c r="F19" t="str">
        <x:v>2026-08-05</x:v>
      </x:c>
      <x:c r="G19" s="53" t="n">
        <x:v>7</x:v>
      </x:c>
      <x:c r="H19" s="12" t="str">
        <x:v>https://www.cdbtgroup.com/newsinfo/835894535933394944.html</x:v>
      </x:c>
      <x:c r="I19" s="12" t="str">
        <x:v>租赁均价约46元/m2/月，装修期优惠需单独谈判</x:v>
      </x:c>
      <x:c r="J19" s="12" t="n">
        <x:v>2</x:v>
      </x:c>
      <x:c r="K19" s="67" t="n">
        <x:v>1402400</x:v>
      </x:c>
      <x:c r="L19" s="12" t="str">
        <x:v>公开来源</x:v>
      </x:c>
      <x:c r="M19" s="12" t="str">
        <x:v>否</x:v>
      </x:c>
      <x:c r="N19" s="12" t="str">
        <x:v>租赁均价约46元/m2/月，装修期优惠需单独谈判</x:v>
      </x:c>
    </x:row>
    <x:row r="20">
      <x:c r="A20" t="str">
        <x:v>SRC-016</x:v>
      </x:c>
      <x:c r="B20" t="str">
        <x:v>地区价格资料</x:v>
      </x:c>
      <x:c r="C20" t="str">
        <x:v>天府新区水价资料</x:v>
      </x:c>
      <x:c r="D20" t="str">
        <x:v>天府新区非居民用水终端价</x:v>
      </x:c>
      <x:c r="E20" t="str">
        <x:v>2025</x:v>
      </x:c>
      <x:c r="F20" t="str">
        <x:v>2026-08-05</x:v>
      </x:c>
      <x:c r="G20" s="53" t="n">
        <x:v>5</x:v>
      </x:c>
      <x:c r="H20" s="12" t="str">
        <x:v>https://doc.docsou.com/bbabf0573baf8317b534d5381c67399454b82a620.html</x:v>
      </x:c>
      <x:c r="I20" s="12" t="str">
        <x:v>非居民用水终端价4.55元/m3；正式落地需按园区水务账单核验</x:v>
      </x:c>
      <x:c r="J20" s="12" t="n">
        <x:v>1</x:v>
      </x:c>
      <x:c r="K20" s="67" t="n">
        <x:v>23500</x:v>
      </x:c>
      <x:c r="L20" s="12" t="str">
        <x:v>公开来源</x:v>
      </x:c>
      <x:c r="M20" s="12" t="str">
        <x:v>否</x:v>
      </x:c>
      <x:c r="N20" s="12" t="str">
        <x:v>非居民用水终端价4.55元/m3；正式落地需按园区水务账单核验</x:v>
      </x:c>
    </x:row>
    <x:row r="21">
      <x:c r="A21" t="str">
        <x:v>SRC-017</x:v>
      </x:c>
      <x:c r="B21" t="str">
        <x:v>工程市场资料</x:v>
      </x:c>
      <x:c r="C21" t="str">
        <x:v>净化工程市场</x:v>
      </x:c>
      <x:c r="D21" t="str">
        <x:v>十万级净化车间每平方米造价参考</x:v>
      </x:c>
      <x:c r="E21" t="str">
        <x:v>2025</x:v>
      </x:c>
      <x:c r="F21" t="str">
        <x:v>2026-08-05</x:v>
      </x:c>
      <x:c r="G21" s="53" t="n">
        <x:v>4</x:v>
      </x:c>
      <x:c r="H21" s="12" t="str">
        <x:v>https://wenku.baidu.com/aggs/bc3a7c8bcc22bcd126ff0cd1.html</x:v>
      </x:c>
      <x:c r="I21" s="12" t="str">
        <x:v>ISO8市场区间约1000-1800元/m2，具体需按围护、HVAC和验证拆分</x:v>
      </x:c>
      <x:c r="J21" s="12" t="n">
        <x:v>2</x:v>
      </x:c>
      <x:c r="K21" s="67" t="n">
        <x:v>1440000</x:v>
      </x:c>
      <x:c r="L21" s="12" t="str">
        <x:v>公开来源</x:v>
      </x:c>
      <x:c r="M21" s="12" t="str">
        <x:v>是</x:v>
      </x:c>
      <x:c r="N21" s="12" t="str">
        <x:v>ISO8市场区间约1000-1800元/m2，具体需按围护、HVAC和验证拆分</x:v>
      </x:c>
    </x:row>
    <x:row r="22">
      <x:c r="A22" t="str">
        <x:v>SRC-018</x:v>
      </x:c>
      <x:c r="B22" t="str">
        <x:v>工程商资料</x:v>
      </x:c>
      <x:c r="C22" t="str">
        <x:v>海博尔净化</x:v>
      </x:c>
      <x:c r="D22" t="str">
        <x:v>万级洁净厂房平方米造价区间</x:v>
      </x:c>
      <x:c r="E22" t="str">
        <x:v>2025-05-22</x:v>
      </x:c>
      <x:c r="F22" t="str">
        <x:v>2026-08-05</x:v>
      </x:c>
      <x:c r="G22" s="53" t="n">
        <x:v>4</x:v>
      </x:c>
      <x:c r="H22" s="12" t="str">
        <x:v>http://www.hbejh.cn/news/2103.html</x:v>
      </x:c>
      <x:c r="I22" s="12" t="str">
        <x:v>ISO7工程区间和影响因素；非正式报价</x:v>
      </x:c>
      <x:c r="J22" s="12" t="n">
        <x:v>5</x:v>
      </x:c>
      <x:c r="K22" s="67" t="n">
        <x:v>2052000</x:v>
      </x:c>
      <x:c r="L22" s="12" t="str">
        <x:v>公开来源</x:v>
      </x:c>
      <x:c r="M22" s="12" t="str">
        <x:v>是</x:v>
      </x:c>
      <x:c r="N22" s="12" t="str">
        <x:v>ISO7工程区间和影响因素；非正式报价</x:v>
      </x:c>
    </x:row>
    <x:row r="23">
      <x:c r="A23" t="str">
        <x:v>SRC-019</x:v>
      </x:c>
      <x:c r="B23" t="str">
        <x:v>仪器成交数据库</x:v>
      </x:c>
      <x:c r="C23" t="str">
        <x:v>分析测试百科网</x:v>
      </x:c>
      <x:c r="D23" t="str">
        <x:v>Bio-Rad CFX Duet采购合同价格</x:v>
      </x:c>
      <x:c r="E23" t="str">
        <x:v>2025-08-27</x:v>
      </x:c>
      <x:c r="F23" t="str">
        <x:v>2026-08-05</x:v>
      </x:c>
      <x:c r="G23" s="53" t="n">
        <x:v>7</x:v>
      </x:c>
      <x:c r="H23" s="12" t="str">
        <x:v>https://www.antpedia.com/instrument/101781/price/</x:v>
      </x:c>
      <x:c r="I23" s="12" t="str">
        <x:v>统计价格范围25-35万元</x:v>
      </x:c>
      <x:c r="J23" s="12" t="n">
        <x:v>1</x:v>
      </x:c>
      <x:c r="K23" s="67" t="n">
        <x:v>600000</x:v>
      </x:c>
      <x:c r="L23" s="12" t="str">
        <x:v>公开来源</x:v>
      </x:c>
      <x:c r="M23" s="12" t="str">
        <x:v>否</x:v>
      </x:c>
      <x:c r="N23" s="12" t="str">
        <x:v>统计价格范围25-35万元</x:v>
      </x:c>
    </x:row>
    <x:row r="24">
      <x:c r="A24" t="str">
        <x:v>SRC-020</x:v>
      </x:c>
      <x:c r="B24" t="str">
        <x:v>仪器成交数据库</x:v>
      </x:c>
      <x:c r="C24" t="str">
        <x:v>分析测试百科网</x:v>
      </x:c>
      <x:c r="D24" t="str">
        <x:v>BioTek Synergy H1成交价</x:v>
      </x:c>
      <x:c r="E24" t="str">
        <x:v>current</x:v>
      </x:c>
      <x:c r="F24" t="str">
        <x:v>2026-08-05</x:v>
      </x:c>
      <x:c r="G24" s="53" t="n">
        <x:v>7</x:v>
      </x:c>
      <x:c r="H24" s="12" t="str">
        <x:v>https://www.antpedia.com/instrument/2251/</x:v>
      </x:c>
      <x:c r="I24" s="12" t="str">
        <x:v>成交价区间30-40万元</x:v>
      </x:c>
      <x:c r="J24" s="12" t="n">
        <x:v>1</x:v>
      </x:c>
      <x:c r="K24" s="67" t="n">
        <x:v>700000</x:v>
      </x:c>
      <x:c r="L24" s="12" t="str">
        <x:v>公开来源</x:v>
      </x:c>
      <x:c r="M24" s="12" t="str">
        <x:v>否</x:v>
      </x:c>
      <x:c r="N24" s="12" t="str">
        <x:v>成交价区间30-40万元</x:v>
      </x:c>
    </x:row>
    <x:row r="25">
      <x:c r="A25" t="str">
        <x:v>SRC-021</x:v>
      </x:c>
      <x:c r="B25" t="str">
        <x:v>仪器成交数据库</x:v>
      </x:c>
      <x:c r="C25" t="str">
        <x:v>医疗设备市场资料</x:v>
      </x:c>
      <x:c r="D25" t="str">
        <x:v>Nano-500超微量分光光度计2025市场价格</x:v>
      </x:c>
      <x:c r="E25" t="str">
        <x:v>2025</x:v>
      </x:c>
      <x:c r="F25" t="str">
        <x:v>2026-08-05</x:v>
      </x:c>
      <x:c r="G25" s="53" t="n">
        <x:v>5</x:v>
      </x:c>
      <x:c r="H25" s="12" t="str">
        <x:v>https://www.jmmedical.cn/news/i809408.html</x:v>
      </x:c>
      <x:c r="I25" s="12" t="str">
        <x:v>基础实用档3-4.5万元</x:v>
      </x:c>
      <x:c r="J25" s="12" t="n">
        <x:v>1</x:v>
      </x:c>
      <x:c r="K25" s="67" t="n">
        <x:v>76000</x:v>
      </x:c>
      <x:c r="L25" s="12" t="str">
        <x:v>公开来源</x:v>
      </x:c>
      <x:c r="M25" s="12" t="str">
        <x:v>否</x:v>
      </x:c>
      <x:c r="N25" s="12" t="str">
        <x:v>基础实用档3-4.5万元</x:v>
      </x:c>
    </x:row>
    <x:row r="26">
      <x:c r="A26" t="str">
        <x:v>SRC-022</x:v>
      </x:c>
      <x:c r="B26" t="str">
        <x:v>政府采购公告</x:v>
      </x:c>
      <x:c r="C26" t="str">
        <x:v>中国政府采购网</x:v>
      </x:c>
      <x:c r="D26" t="str">
        <x:v>东南大学医学院高效液相色谱仪采购</x:v>
      </x:c>
      <x:c r="E26" t="str">
        <x:v>2025-11-13</x:v>
      </x:c>
      <x:c r="F26" t="str">
        <x:v>2026-08-05</x:v>
      </x:c>
      <x:c r="G26" s="53" t="n">
        <x:v>7</x:v>
      </x:c>
      <x:c r="H26" s="12" t="str">
        <x:v>https://www.ccgp.gov.cn/cggg/zygg/gkzb/202511/t20251113_25688333.htm</x:v>
      </x:c>
      <x:c r="I26" s="12" t="str">
        <x:v>预算49万元、最高限价47万元；配置可比性需复核</x:v>
      </x:c>
      <x:c r="J26" s="12" t="n">
        <x:v>1</x:v>
      </x:c>
      <x:c r="K26" s="67" t="n">
        <x:v>490000</x:v>
      </x:c>
      <x:c r="L26" s="12" t="str">
        <x:v>公开来源</x:v>
      </x:c>
      <x:c r="M26" s="12" t="str">
        <x:v>否</x:v>
      </x:c>
      <x:c r="N26" s="12" t="str">
        <x:v>预算49万元、最高限价47万元；配置可比性需复核</x:v>
      </x:c>
    </x:row>
    <x:row r="27">
      <x:c r="A27" t="str">
        <x:v>SRC-023</x:v>
      </x:c>
      <x:c r="B27" t="str">
        <x:v>经销商公开价</x:v>
      </x:c>
      <x:c r="C27" t="str">
        <x:v>BIOBASE渠道</x:v>
      </x:c>
      <x:c r="D27" t="str">
        <x:v>BSC-1100IIA2-X生物安全柜</x:v>
      </x:c>
      <x:c r="E27" t="str">
        <x:v>current</x:v>
      </x:c>
      <x:c r="F27" t="str">
        <x:v>2026-08-05</x:v>
      </x:c>
      <x:c r="G27" s="53" t="n">
        <x:v>6</x:v>
      </x:c>
      <x:c r="H27" s="12" t="str">
        <x:v>http://medwant.com/lab/diwenhengwenlei/shengwuanquangui/60021297.html</x:v>
      </x:c>
      <x:c r="I27" s="12" t="str">
        <x:v>公开价68000元，安装检测和地区服务另核</x:v>
      </x:c>
      <x:c r="J27" s="12" t="n">
        <x:v>2</x:v>
      </x:c>
      <x:c r="K27" s="67" t="n">
        <x:v>216000</x:v>
      </x:c>
      <x:c r="L27" s="12" t="str">
        <x:v>公开来源</x:v>
      </x:c>
      <x:c r="M27" s="12" t="str">
        <x:v>否</x:v>
      </x:c>
      <x:c r="N27" s="12" t="str">
        <x:v>公开价68000元，安装检测和地区服务另核</x:v>
      </x:c>
    </x:row>
    <x:row r="28">
      <x:c r="A28" t="str">
        <x:v>SRC-024</x:v>
      </x:c>
      <x:c r="B28" t="str">
        <x:v>工程商市场资料</x:v>
      </x:c>
      <x:c r="C28" t="str">
        <x:v>冷迪制冷</x:v>
      </x:c>
      <x:c r="D28" t="str">
        <x:v>2025年各类冷库造价</x:v>
      </x:c>
      <x:c r="E28" t="str">
        <x:v>2025-01-06</x:v>
      </x:c>
      <x:c r="F28" t="str">
        <x:v>2026-08-05</x:v>
      </x:c>
      <x:c r="G28" s="53" t="n">
        <x:v>4</x:v>
      </x:c>
      <x:c r="H28" s="12" t="str">
        <x:v>http://www.ldlengku.com/656.html</x:v>
      </x:c>
      <x:c r="I28" s="12" t="str">
        <x:v>用于小型医药冷库区间估算，正式价格需按双机双电和监控询价</x:v>
      </x:c>
      <x:c r="J28" s="12" t="n">
        <x:v>4</x:v>
      </x:c>
      <x:c r="K28" s="67" t="n">
        <x:v>773000</x:v>
      </x:c>
      <x:c r="L28" s="12" t="str">
        <x:v>公开来源</x:v>
      </x:c>
      <x:c r="M28" s="12" t="str">
        <x:v>是</x:v>
      </x:c>
      <x:c r="N28" s="12" t="str">
        <x:v>用于小型医药冷库区间估算，正式价格需按双机双电和监控询价</x:v>
      </x:c>
    </x:row>
    <x:row r="29">
      <x:c r="A29" t="str">
        <x:v>SRC-025</x:v>
      </x:c>
      <x:c r="B29" t="str">
        <x:v>B2B市场平台</x:v>
      </x:c>
      <x:c r="C29" t="str">
        <x:v>阿里巴巴1688</x:v>
      </x:c>
      <x:c r="D29" t="str">
        <x:v>全自动微量试剂灌装旋盖一体机</x:v>
      </x:c>
      <x:c r="E29" t="str">
        <x:v>current</x:v>
      </x:c>
      <x:c r="F29" t="str">
        <x:v>2026-08-05</x:v>
      </x:c>
      <x:c r="G29" s="53" t="n">
        <x:v>3</x:v>
      </x:c>
      <x:c r="H29" s="12" t="str">
        <x:v>https://m.1688.com/offer/1059943439013.html</x:v>
      </x:c>
      <x:c r="I29" s="12" t="str">
        <x:v>设备裸机与市场供给参考；GMP材料、精度、验证、售后需单独核验</x:v>
      </x:c>
      <x:c r="J29" s="12" t="n">
        <x:v>3</x:v>
      </x:c>
      <x:c r="K29" s="67" t="n">
        <x:v>1950000</x:v>
      </x:c>
      <x:c r="L29" s="12" t="str">
        <x:v>公开来源</x:v>
      </x:c>
      <x:c r="M29" s="12" t="str">
        <x:v>是</x:v>
      </x:c>
      <x:c r="N29" s="12" t="str">
        <x:v>设备裸机与市场供给参考；GMP材料、精度、验证、售后需单独核验</x:v>
      </x:c>
    </x:row>
    <x:row r="30">
      <x:c r="A30" t="str">
        <x:v>SRC-026</x:v>
      </x:c>
      <x:c r="B30" t="str">
        <x:v>B2B市场平台</x:v>
      </x:c>
      <x:c r="C30" t="str">
        <x:v>阿里巴巴1688</x:v>
      </x:c>
      <x:c r="D30" t="str">
        <x:v>500L/H制药纯化水设备</x:v>
      </x:c>
      <x:c r="E30" t="str">
        <x:v>current</x:v>
      </x:c>
      <x:c r="F30" t="str">
        <x:v>2026-08-05</x:v>
      </x:c>
      <x:c r="G30" s="53" t="n">
        <x:v>3</x:v>
      </x:c>
      <x:c r="H30" s="12" t="str">
        <x:v>https://detail.1688.com/offer/631915785637.html</x:v>
      </x:c>
      <x:c r="I30" s="12" t="str">
        <x:v>设备市场供应参考；管路、储罐、验证和水质指标影响显著</x:v>
      </x:c>
      <x:c r="J30" s="12" t="n">
        <x:v>1</x:v>
      </x:c>
      <x:c r="K30" s="67" t="n">
        <x:v>180000</x:v>
      </x:c>
      <x:c r="L30" s="12" t="str">
        <x:v>公开来源</x:v>
      </x:c>
      <x:c r="M30" s="12" t="str">
        <x:v>是</x:v>
      </x:c>
      <x:c r="N30" s="12" t="str">
        <x:v>设备市场供应参考；管路、储罐、验证和水质指标影响显著</x:v>
      </x:c>
    </x:row>
    <x:row r="31">
      <x:c r="A31" t="str">
        <x:v>SRC-027</x:v>
      </x:c>
      <x:c r="B31" t="str">
        <x:v>B2B市场平台</x:v>
      </x:c>
      <x:c r="C31" t="str">
        <x:v>百度爱采购</x:v>
      </x:c>
      <x:c r="D31" t="str">
        <x:v>200kW柴油发电机组价格行情</x:v>
      </x:c>
      <x:c r="E31" t="str">
        <x:v>current</x:v>
      </x:c>
      <x:c r="F31" t="str">
        <x:v>2026-08-05</x:v>
      </x:c>
      <x:c r="G31" s="53" t="n">
        <x:v>3</x:v>
      </x:c>
      <x:c r="H31" s="12" t="str">
        <x:v>https://b2b.baidu.com/s?q=200kw%E6%9F%B4%E6%B2%B9%E5%8F%91%E7%94%B5%E6%9C%BA%E7%BB%84%E4%BB%B7%E6%A0%BC</x:v>
      </x:c>
      <x:c r="I31" s="12" t="str">
        <x:v>市场区间参考；品牌、静音、ATS、排烟和安装未统一</x:v>
      </x:c>
      <x:c r="J31" s="12" t="n">
        <x:v>2</x:v>
      </x:c>
      <x:c r="K31" s="67" t="n">
        <x:v>250000</x:v>
      </x:c>
      <x:c r="L31" s="12" t="str">
        <x:v>公开来源</x:v>
      </x:c>
      <x:c r="M31" s="12" t="str">
        <x:v>是</x:v>
      </x:c>
      <x:c r="N31" s="12" t="str">
        <x:v>市场区间参考；品牌、静音、ATS、排烟和安装未统一</x:v>
      </x:c>
    </x:row>
    <x:row r="32">
      <x:c r="A32" t="str">
        <x:v>SRC-028</x:v>
      </x:c>
      <x:c r="B32" t="str">
        <x:v>B2B市场平台</x:v>
      </x:c>
      <x:c r="C32" t="str">
        <x:v>阿里巴巴1688</x:v>
      </x:c>
      <x:c r="D32" t="str">
        <x:v>实验包材和自动包装设备行情</x:v>
      </x:c>
      <x:c r="E32" t="str">
        <x:v>current</x:v>
      </x:c>
      <x:c r="F32" t="str">
        <x:v>2026-08-05</x:v>
      </x:c>
      <x:c r="G32" s="53" t="n">
        <x:v>3</x:v>
      </x:c>
      <x:c r="H32" s="12" t="str">
        <x:v>https://www.1688.com/</x:v>
      </x:c>
      <x:c r="I32" s="12" t="str">
        <x:v>标准耗材与包装设备下限参考；低温胶黏、低吸附和验证要求需询价</x:v>
      </x:c>
      <x:c r="J32" s="12" t="n">
        <x:v>27</x:v>
      </x:c>
      <x:c r="K32" s="67" t="n">
        <x:v>3093000</x:v>
      </x:c>
      <x:c r="L32" s="12" t="str">
        <x:v>公开来源</x:v>
      </x:c>
      <x:c r="M32" s="12" t="str">
        <x:v>是</x:v>
      </x:c>
      <x:c r="N32" s="12" t="str">
        <x:v>标准耗材与包装设备下限参考；低温胶黏、低吸附和验证要求需询价</x:v>
      </x:c>
    </x:row>
    <x:row r="33">
      <x:c r="A33" t="str">
        <x:v>SRC-029</x:v>
      </x:c>
      <x:c r="B33" t="str">
        <x:v>厂商产品页</x:v>
      </x:c>
      <x:c r="C33" t="str">
        <x:v>Merck/Sigma-Aldrich</x:v>
      </x:c>
      <x:c r="D33" t="str">
        <x:v>Tris及分子生物学级缓冲盐</x:v>
      </x:c>
      <x:c r="E33" t="str">
        <x:v>current</x:v>
      </x:c>
      <x:c r="F33" t="str">
        <x:v>2026-08-05</x:v>
      </x:c>
      <x:c r="G33" s="53" t="n">
        <x:v>6</x:v>
      </x:c>
      <x:c r="H33" s="12" t="str">
        <x:v>https://www.sigmaaldrich.cn/CN/zh/search/tris?focus=products&amp;page=1&amp;perpage=30&amp;term=tris&amp;type=product</x:v>
      </x:c>
      <x:c r="I33" s="12" t="str">
        <x:v>高纯进口质量对标；公开价格会因规格和渠道变化</x:v>
      </x:c>
      <x:c r="J33" s="12" t="n">
        <x:v>5</x:v>
      </x:c>
      <x:c r="K33" s="67" t="n">
        <x:v>2691.50687</x:v>
      </x:c>
      <x:c r="L33" s="12" t="str">
        <x:v>公开来源</x:v>
      </x:c>
      <x:c r="M33" s="12" t="str">
        <x:v>否</x:v>
      </x:c>
      <x:c r="N33" s="12" t="str">
        <x:v>高纯进口质量对标；公开价格会因规格和渠道变化</x:v>
      </x:c>
    </x:row>
    <x:row r="34">
      <x:c r="A34" t="str">
        <x:v>SRC-030</x:v>
      </x:c>
      <x:c r="B34" t="str">
        <x:v>厂商产品页</x:v>
      </x:c>
      <x:c r="C34" t="str">
        <x:v>Thermo Fisher</x:v>
      </x:c>
      <x:c r="D34" t="str">
        <x:v>dNTP Mix R0192</x:v>
      </x:c>
      <x:c r="E34" t="str">
        <x:v>current</x:v>
      </x:c>
      <x:c r="F34" t="str">
        <x:v>2026-08-05</x:v>
      </x:c>
      <x:c r="G34" s="53" t="n">
        <x:v>6</x:v>
      </x:c>
      <x:c r="H34" s="12" t="str">
        <x:v>https://www.thermofisher.cn/order/catalog/product/cn/zh/R0192</x:v>
      </x:c>
      <x:c r="I34" s="12" t="str">
        <x:v>进口dNTP质量与规格对标</x:v>
      </x:c>
      <x:c r="J34" s="12" t="n">
        <x:v>1</x:v>
      </x:c>
      <x:c r="K34" s="67" t="n">
        <x:v>408510</x:v>
      </x:c>
      <x:c r="L34" s="12" t="str">
        <x:v>公开来源</x:v>
      </x:c>
      <x:c r="M34" s="12" t="str">
        <x:v>否</x:v>
      </x:c>
      <x:c r="N34" s="12" t="str">
        <x:v>进口dNTP质量与规格对标</x:v>
      </x:c>
    </x:row>
    <x:row r="35">
      <x:c r="A35" t="str">
        <x:v>SRC-031</x:v>
      </x:c>
      <x:c r="B35" t="str">
        <x:v>市场估算</x:v>
      </x:c>
      <x:c r="C35" t="str">
        <x:v>项目预算模型</x:v>
      </x:c>
      <x:c r="D35" t="str">
        <x:v>需正式询价的工程与服务包</x:v>
      </x:c>
      <x:c r="E35" t="str">
        <x:v>2026-08-05</x:v>
      </x:c>
      <x:c r="F35" t="str">
        <x:v>2026-08-05</x:v>
      </x:c>
      <x:c r="G35" s="53" t="n">
        <x:v>1</x:v>
      </x:c>
      <x:c r="H35" s="12" t="str">
        <x:v>N/A - engineering estimate</x:v>
      </x:c>
      <x:c r="I35" s="12" t="str">
        <x:v>无公开可比精确报价；仅用于预算占位和敏感性分析</x:v>
      </x:c>
      <x:c r="J35" s="12" t="n">
        <x:v>45</x:v>
      </x:c>
      <x:c r="K35" s="67" t="n">
        <x:v>12309052.87816</x:v>
      </x:c>
      <x:c r="L35" s="12" t="str">
        <x:v>工程估算</x:v>
      </x:c>
      <x:c r="M35" s="12" t="str">
        <x:v>是</x:v>
      </x:c>
      <x:c r="N35" s="12" t="str">
        <x:v>无公开可比精确报价；仅用于预算占位和敏感性分析</x:v>
      </x:c>
    </x:row>
    <x:row r="36">
      <x:c r="A36" t="str">
        <x:v>SRC-032</x:v>
      </x:c>
      <x:c r="B36" t="str">
        <x:v>厂商官方价目页</x:v>
      </x:c>
      <x:c r="C36" t="str">
        <x:v>Thermo Fisher</x:v>
      </x:c>
      <x:c r="D36" t="str">
        <x:v>修饰寡核苷酸价格表</x:v>
      </x:c>
      <x:c r="E36" t="str">
        <x:v>页面未标有效期/current</x:v>
      </x:c>
      <x:c r="F36" t="str">
        <x:v>2026-08-16</x:v>
      </x:c>
      <x:c r="G36" s="53" t="n">
        <x:v>8</x:v>
      </x:c>
      <x:c r="H36" s="12" t="str">
        <x:v>https://www.thermofisher.cn/cn/zh/home/cnservice/sequencing/oligo-pricing2.html</x:v>
      </x:c>
      <x:c r="I36" s="12" t="str">
        <x:v>页面含5/10/30 OD目录锚点；5′FAM/3′BHQ1=10 OD 1800元、5′ROX/3′BHQ2=2 OD 1500元且更大规格询价；最终P/C/F均无精确组合。PAGE改HPLC≤10 OD另加100元/条；硫代价格构成需确认</x:v>
      </x:c>
      <x:c r="J36" s="12" t="n">
        <x:v>12</x:v>
      </x:c>
      <x:c r="K36" s="67" t="n">
        <x:v>2423037.6</x:v>
      </x:c>
      <x:c r="L36" s="12" t="str">
        <x:v>公开来源</x:v>
      </x:c>
      <x:c r="M36" s="12" t="str">
        <x:v>否</x:v>
      </x:c>
      <x:c r="N36" s="12" t="str">
        <x:v>页面含5/10/30 OD目录锚点；5′FAM/3′BHQ1=10 OD 1800元、5′ROX/3′BHQ2=2 OD 1500元且更大规格询价；最终P/C/F均无精确组合。PAGE改HPLC≤10 OD另加100元/条；硫代价格构成需确认</x:v>
      </x:c>
    </x:row>
    <x:row r="37">
      <x:c r="A37" t="str">
        <x:v>SRC-033</x:v>
      </x:c>
      <x:c r="B37" t="str">
        <x:v>厂商官方价目页</x:v>
      </x:c>
      <x:c r="C37" t="str">
        <x:v>GenScript</x:v>
      </x:c>
      <x:c r="D37" t="str">
        <x:v>寡核苷酸修饰价格表</x:v>
      </x:c>
      <x:c r="E37" t="str">
        <x:v>页面未标有效期/current</x:v>
      </x:c>
      <x:c r="F37" t="str">
        <x:v>2026-08-16</x:v>
      </x:c>
      <x:c r="G37" s="53" t="n">
        <x:v>8</x:v>
      </x:c>
      <x:c r="H37" s="12" t="str">
        <x:v>https://www.genscript.com.cn/oligo-modification.html</x:v>
      </x:c>
      <x:c r="I37" s="12" t="str">
        <x:v>15–39 nt、5 nmol目录价；&gt;5 nmol询价。5′Spacer C3=360元、5′/3′荧光与BHQ修饰为相似锚点；不能直接替代10 OD最终构型报价</x:v>
      </x:c>
      <x:c r="J37" s="12" t="n">
        <x:v>3</x:v>
      </x:c>
      <x:c r="K37" s="67" t="n">
        <x:v>1628550</x:v>
      </x:c>
      <x:c r="L37" s="12" t="str">
        <x:v>公开来源</x:v>
      </x:c>
      <x:c r="M37" s="12" t="str">
        <x:v>否</x:v>
      </x:c>
      <x:c r="N37" s="12" t="str">
        <x:v>15–39 nt、5 nmol目录价；&gt;5 nmol询价。5′Spacer C3=360元、5′/3′荧光与BHQ修饰为相似锚点；不能直接替代10 OD最终构型报价</x:v>
      </x:c>
    </x:row>
    <x:row r="38">
      <x:c r="A38" t="str">
        <x:v>SRC-034</x:v>
      </x:c>
      <x:c r="B38" t="str">
        <x:v>用户提供论文稿</x:v>
      </x:c>
      <x:c r="C38" t="str">
        <x:v>项目团队</x:v>
      </x:c>
      <x:c r="D38" t="str">
        <x:v>Manuscript-highlighted</x:v>
      </x:c>
      <x:c r="E38" t="str">
        <x:v>方法学版本/2026-08-17提供</x:v>
      </x:c>
      <x:c r="F38" t="str">
        <x:v>2026-08-17</x:v>
      </x:c>
      <x:c r="G38" s="53" t="n">
        <x:v>10</x:v>
      </x:c>
      <x:c r="H38" s="12" t="str">
        <x:v>Manuscript-highlighted.docx</x:v>
      </x:c>
      <x:c r="I38" s="12" t="str">
        <x:v>研究反应基线：HPLC纯化、100 μM储液、PCR引物400 nM、PANDA helper最终500 nM、20 nM CP/380 nM F、37℃、0.5% Tween-20、FAM 485/525与ROX 585/616；序列和修饰端位以正反义探针设计为准，产品库存配方以核心流程为准</x:v>
      </x:c>
      <x:c r="J38" s="12" t="n">
        <x:v>16</x:v>
      </x:c>
      <x:c r="K38" s="67" t="n">
        <x:v>2519049.475</x:v>
      </x:c>
      <x:c r="L38" s="12" t="str">
        <x:v>本地源文件</x:v>
      </x:c>
      <x:c r="M38" s="12" t="str">
        <x:v>否</x:v>
      </x:c>
      <x:c r="N38" s="12" t="str">
        <x:v>研究反应基线：HPLC纯化、100 μM储液、PCR引物400 nM、PANDA helper最终500 nM、20 nM CP/380 nM F、37℃、0.5% Tween-20、FAM 485/525与ROX 585/616；序列和修饰端位以正反义探针设计为准，产品库存配方以核心流程为准</x:v>
      </x:c>
    </x:row>
    <x:row r="39">
      <x:c r="A39" t="str">
        <x:v>SRC-035</x:v>
      </x:c>
      <x:c r="B39" t="str">
        <x:v>用户提供流程与配方文件</x:v>
      </x:c>
      <x:c r="C39" t="str">
        <x:v>项目团队</x:v>
      </x:c>
      <x:c r="D39" t="str">
        <x:v>核心原理&amp;诊断流程</x:v>
      </x:c>
      <x:c r="E39" t="str">
        <x:v>2026-08-17</x:v>
      </x:c>
      <x:c r="F39" t="str">
        <x:v>2026-08-17</x:v>
      </x:c>
      <x:c r="G39" s="53" t="n">
        <x:v>10</x:v>
      </x:c>
      <x:c r="H39" s="12" t="str">
        <x:v>核心原理&amp;诊断流程.docx</x:v>
      </x:c>
      <x:c r="I39" s="12" t="str">
        <x:v>产品工程基线：七管试剂体积、PCR/PANDA/CD库存配方浓度、四管对照/NTC、42℃、FAM 485/520与ROX 575/610及单盒投料量；CD配方原文标注为尚待继续研究，必须与论文反应条件做稀释闭合</x:v>
      </x:c>
      <x:c r="J39" s="12" t="n">
        <x:v>14</x:v>
      </x:c>
      <x:c r="K39" s="67" t="n">
        <x:v>2386061.875</x:v>
      </x:c>
      <x:c r="L39" s="12" t="str">
        <x:v>本地源文件</x:v>
      </x:c>
      <x:c r="M39" s="12" t="str">
        <x:v>否</x:v>
      </x:c>
      <x:c r="N39" s="12" t="str">
        <x:v>产品工程基线：七管试剂体积、PCR/PANDA/CD库存配方浓度、四管对照/NTC、42℃、FAM 485/520与ROX 575/610及单盒投料量；CD配方原文标注为尚待继续研究，必须与论文反应条件做稀释闭合</x:v>
      </x:c>
    </x:row>
    <x:row r="40">
      <x:c r="A40" t="str">
        <x:v>SRC-036</x:v>
      </x:c>
      <x:c r="B40" t="str">
        <x:v>用户提供最终设计文件</x:v>
      </x:c>
      <x:c r="C40" t="str">
        <x:v>项目团队</x:v>
      </x:c>
      <x:c r="D40" t="str">
        <x:v>正反义探针设计</x:v>
      </x:c>
      <x:c r="E40" t="str">
        <x:v>2026-08-17</x:v>
      </x:c>
      <x:c r="F40" t="str">
        <x:v>2026-08-17</x:v>
      </x:c>
      <x:c r="G40" s="53" t="n">
        <x:v>10</x:v>
      </x:c>
      <x:c r="H40" s="12" t="str">
        <x:v>正反义探针设计.docx</x:v>
      </x:c>
      <x:c r="I40" s="12" t="str">
        <x:v>最终两条PCR引物、H1-H7、P/C/F序列、方向、FAM/ROX/BHQ1/BHQ2端位与Tm的最高优先级采购契约</x:v>
      </x:c>
      <x:c r="J40" s="12" t="n">
        <x:v>13</x:v>
      </x:c>
      <x:c r="K40" s="67" t="n">
        <x:v>2423037.6</x:v>
      </x:c>
      <x:c r="L40" s="12" t="str">
        <x:v>本地源文件</x:v>
      </x:c>
      <x:c r="M40" s="12" t="str">
        <x:v>否</x:v>
      </x:c>
      <x:c r="N40" s="12" t="str">
        <x:v>最终两条PCR引物、H1-H7、P/C/F序列、方向、FAM/ROX/BHQ1/BHQ2端位与Tm的最高优先级采购契约</x:v>
      </x:c>
    </x:row>
  </x:sheetData>
  <x:mergeCells>
    <x:mergeCell ref="A1:N1"/>
    <x:mergeCell ref="A2:N2"/>
  </x:mergeCells>
  <x:conditionalFormatting sqref="M5:M40">
    <x:cfRule type="containsText" dxfId="7" priority="1" operator="containsText" text="是"/>
  </x:conditionalFormatting>
  <x:conditionalFormatting sqref="G5:G40">
    <x:cfRule type="colorScale" priority="2">
      <x:colorScale>
        <x:cfvo type="min"/>
        <x:cfvo type="percentile" val="50"/>
        <x:cfvo type="max"/>
        <x:color rgb="FFF8BBD0"/>
        <x:color rgb="FFFFF9C4"/>
        <x:color rgb="FFC8E6C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2b0f5b3738c4f5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2" hidden="0" customWidth="1"/>
    <x:col min="7" max="7" width="30" hidden="0" customWidth="1"/>
    <x:col min="8" max="8" width="42" hidden="0" customWidth="1"/>
  </x:cols>
  <x:sheetData>
    <x:row r="1" ht="30" customHeight="1">
      <x:c r="A1" s="3" t="str">
        <x:v>模型检查与修复指引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PASS 仅表示结构和勾稽通过，不代表低可信价格已经获得供应商正式确认。</x:v>
      </x:c>
      <x:c r="B2" s="7"/>
      <x:c r="C2" s="7"/>
      <x:c r="D2" s="7"/>
      <x:c r="E2" s="7"/>
      <x:c r="F2" s="7"/>
      <x:c r="G2" s="7"/>
      <x:c r="H2" s="7"/>
    </x:row>
    <x:row r="3">
      <x:c r="A3" s="10" t="str">
        <x:v>MODEL STATUS</x:v>
      </x:c>
      <x:c r="B3" s="10" t="str">
        <x:f>IF(COUNTIF(F7:F25,"&lt;&gt;PASS")=0,"PASS","FAIL")</x:f>
        <x:v>PASS</x:v>
      </x:c>
    </x:row>
    <x:row r="6">
      <x:c r="A6" s="25" t="str">
        <x:v>Check</x:v>
      </x:c>
      <x:c r="B6" s="26" t="str">
        <x:v>Actual</x:v>
      </x:c>
      <x:c r="C6" s="26" t="str">
        <x:v>Expected</x:v>
      </x:c>
      <x:c r="D6" s="26" t="str">
        <x:v>Difference</x:v>
      </x:c>
      <x:c r="E6" s="26" t="str">
        <x:v>Tolerance</x:v>
      </x:c>
      <x:c r="F6" s="26" t="str">
        <x:v>Status</x:v>
      </x:c>
      <x:c r="G6" s="26" t="str">
        <x:v>Where to fix</x:v>
      </x:c>
      <x:c r="H6" s="27" t="str">
        <x:v>Notes</x:v>
      </x:c>
    </x:row>
    <x:row r="7">
      <x:c r="A7" t="str">
        <x:v>情景选择有效</x:v>
      </x:c>
      <x:c r="B7" s="31" t="str">
        <x:f>'02_假设与情景'!$B$5</x:f>
        <x:v>S2</x:v>
      </x:c>
      <x:c r="C7" s="31" t="str">
        <x:v>S1/S2/S3</x:v>
      </x:c>
      <x:c r="D7" s="31" t="n">
        <x:f>0</x:f>
        <x:v>0</x:v>
      </x:c>
      <x:c r="E7" s="31" t="n">
        <x:v>0</x:v>
      </x:c>
      <x:c r="F7" s="31" t="str">
        <x:f>IF(OR(B7="S1",B7="S2",B7="S3"),"PASS","FAIL")</x:f>
        <x:v>PASS</x:v>
      </x:c>
      <x:c r="G7" s="12" t="str">
        <x:v>02_假设与情景!B5</x:v>
      </x:c>
      <x:c r="H7" s="12" t="str">
        <x:v>必须使用数据验证列表</x:v>
      </x:c>
    </x:row>
    <x:row r="8">
      <x:c r="A8" t="str">
        <x:v>CAPEX 勾稽</x:v>
      </x:c>
      <x:c r="B8" s="50" t="n">
        <x:f>'01_执行摘要'!$A$9</x:f>
        <x:v>15503000</x:v>
      </x:c>
      <x:c r="C8" s="50" t="n">
        <x:f>'03_CAPEX建设设备'!$A$4</x:f>
        <x:v>15503000</x:v>
      </x:c>
      <x:c r="D8" s="50" t="n">
        <x:f>B8-C8</x:f>
        <x:v>0</x:v>
      </x:c>
      <x:c r="E8" s="50" t="n">
        <x:v>0</x:v>
      </x:c>
      <x:c r="F8" s="31" t="str">
        <x:f>IF(ABS(D8)&lt;=E8,"PASS","FAIL")</x:f>
        <x:v>PASS</x:v>
      </x:c>
      <x:c r="G8" s="12" t="str">
        <x:v>03_CAPEX建设设备</x:v>
      </x:c>
      <x:c r="H8" s="12" t="str">
        <x:v>摘要应等于明细总额</x:v>
      </x:c>
    </x:row>
    <x:row r="9">
      <x:c r="A9" t="str">
        <x:v>OPEX 勾稽</x:v>
      </x:c>
      <x:c r="B9" s="50" t="n">
        <x:f>'01_执行摘要'!$D$9</x:f>
        <x:v>13939700</x:v>
      </x:c>
      <x:c r="C9" s="50" t="n">
        <x:f>'04_OPEX年度运营'!$A$4</x:f>
        <x:v>13939700</x:v>
      </x:c>
      <x:c r="D9" s="50" t="n">
        <x:f>B9-C9</x:f>
        <x:v>0</x:v>
      </x:c>
      <x:c r="E9" s="50" t="n">
        <x:v>0</x:v>
      </x:c>
      <x:c r="F9" s="31" t="str">
        <x:f>IF(ABS(D9)&lt;=E9,"PASS","FAIL")</x:f>
        <x:v>PASS</x:v>
      </x:c>
      <x:c r="G9" s="12" t="str">
        <x:v>04_OPEX年度运营</x:v>
      </x:c>
      <x:c r="H9" s="12" t="str">
        <x:v>摘要应等于明细总额</x:v>
      </x:c>
    </x:row>
    <x:row r="10">
      <x:c r="A10" t="str">
        <x:v>BOM 勾稽</x:v>
      </x:c>
      <x:c r="B10" s="50" t="n">
        <x:f>'01_执行摘要'!$G$9</x:f>
        <x:v>7347164</x:v>
      </x:c>
      <x:c r="C10" s="50" t="n">
        <x:f>'05_原辅料BOM'!$A$4</x:f>
        <x:v>7347164.2</x:v>
      </x:c>
      <x:c r="D10" s="50" t="n">
        <x:f>B10-C10</x:f>
        <x:v>-0.20000000018626451</x:v>
      </x:c>
      <x:c r="E10" s="50" t="n">
        <x:v>0.5</x:v>
      </x:c>
      <x:c r="F10" s="31" t="str">
        <x:f>IF(ABS(D10)&lt;=E10,"PASS","FAIL")</x:f>
        <x:v>PASS</x:v>
      </x:c>
      <x:c r="G10" s="12" t="str">
        <x:v>05_原辅料BOM</x:v>
      </x:c>
      <x:c r="H10" s="12" t="str">
        <x:v>摘要按整元展示，允许 0.50 元舍入</x:v>
      </x:c>
    </x:row>
    <x:row r="11">
      <x:c r="A11" t="str">
        <x:v>首年资金勾稽</x:v>
      </x:c>
      <x:c r="B11" s="50" t="n">
        <x:f>'01_执行摘要'!$J$9</x:f>
        <x:v>40989927</x:v>
      </x:c>
      <x:c r="C11" s="50" t="n">
        <x:f>'01_执行摘要'!$A$9+'01_执行摘要'!$D$9+'01_执行摘要'!$G$9+'01_执行摘要'!$A$11+'01_执行摘要'!$D$11+'01_执行摘要'!$J$11</x:f>
        <x:v>40989927</x:v>
      </x:c>
      <x:c r="D11" s="50" t="n">
        <x:f>B11-C11</x:f>
        <x:v>0</x:v>
      </x:c>
      <x:c r="E11" s="50" t="n">
        <x:v>0.01</x:v>
      </x:c>
      <x:c r="F11" s="31" t="str">
        <x:f>IF(ABS(D11)&lt;=E11,"PASS","FAIL")</x:f>
        <x:v>PASS</x:v>
      </x:c>
      <x:c r="G11" s="12" t="str">
        <x:v>01_执行摘要</x:v>
      </x:c>
      <x:c r="H11" s="12" t="str">
        <x:v>允许 0.01 元舍入</x:v>
      </x:c>
    </x:row>
    <x:row r="12">
      <x:c r="A12" t="str">
        <x:v>来源字段完整</x:v>
      </x:c>
      <x:c r="B12" s="50" t="n">
        <x:f>COUNTBLANK('03_CAPEX建设设备'!$Y$6:$Y$57)+COUNTBLANK('04_OPEX年度运营'!$Y$6:$Y$36)+COUNTBLANK('05_原辅料BOM'!$Y$6:$Y$48)</x:f>
        <x:v>0</x:v>
      </x:c>
      <x:c r="C12" s="50" t="n">
        <x:v>0</x:v>
      </x:c>
      <x:c r="D12" s="50" t="n">
        <x:f>B12-C12</x:f>
        <x:v>0</x:v>
      </x:c>
      <x:c r="E12" s="50" t="n">
        <x:v>0</x:v>
      </x:c>
      <x:c r="F12" s="31" t="str">
        <x:f>IF(D12=0,"PASS","FAIL")</x:f>
        <x:v>PASS</x:v>
      </x:c>
      <x:c r="G12" s="12" t="str">
        <x:v>三张明细表 Y 列</x:v>
      </x:c>
      <x:c r="H12" s="12" t="str">
        <x:v>每项至少一个来源或工程估算ID</x:v>
      </x:c>
    </x:row>
    <x:row r="13">
      <x:c r="A13" t="str">
        <x:v>三年价格覆盖</x:v>
      </x:c>
      <x:c r="B13" s="50" t="n">
        <x:f>COUNTBLANK('03_CAPEX建设设备'!$P$6:$R$57)+COUNTBLANK('04_OPEX年度运营'!$P$6:$R$36)+COUNTBLANK('05_原辅料BOM'!$P$6:$R$48)</x:f>
        <x:v>0</x:v>
      </x:c>
      <x:c r="C13" s="50" t="n">
        <x:v>0</x:v>
      </x:c>
      <x:c r="D13" s="50" t="n">
        <x:f>B13-C13</x:f>
        <x:v>0</x:v>
      </x:c>
      <x:c r="E13" s="50" t="n">
        <x:v>0</x:v>
      </x:c>
      <x:c r="F13" s="31" t="str">
        <x:f>IF(D13=0,"PASS","FAIL")</x:f>
        <x:v>PASS</x:v>
      </x:c>
      <x:c r="G13" s="12" t="str">
        <x:v>三张明细表 P:R</x:v>
      </x:c>
      <x:c r="H13" s="12" t="str">
        <x:v>当前/2025/2024均需有值或明确空缺</x:v>
      </x:c>
    </x:row>
    <x:row r="14">
      <x:c r="A14" t="str">
        <x:v>数量非负</x:v>
      </x:c>
      <x:c r="B14" s="50" t="n">
        <x:f>COUNTIF('03_CAPEX建设设备'!$G$6:$J$57,"&lt;0")+COUNTIF('04_OPEX年度运营'!$G$6:$J$36,"&lt;0")+COUNTIF('05_原辅料BOM'!$G$6:$J$48,"&lt;0")</x:f>
        <x:v>0</x:v>
      </x:c>
      <x:c r="C14" s="50" t="n">
        <x:v>0</x:v>
      </x:c>
      <x:c r="D14" s="50" t="n">
        <x:f>B14-C14</x:f>
        <x:v>0</x:v>
      </x:c>
      <x:c r="E14" s="50" t="n">
        <x:v>0</x:v>
      </x:c>
      <x:c r="F14" s="31" t="str">
        <x:f>IF(D14=0,"PASS","FAIL")</x:f>
        <x:v>PASS</x:v>
      </x:c>
      <x:c r="G14" s="12" t="str">
        <x:v>三张明细表 G:J</x:v>
      </x:c>
      <x:c r="H14" s="12" t="str">
        <x:v>不允许负数量</x:v>
      </x:c>
    </x:row>
    <x:row r="15">
      <x:c r="A15" t="str">
        <x:v>价格非负</x:v>
      </x:c>
      <x:c r="B15" s="50" t="n">
        <x:f>COUNTIF('03_CAPEX建设设备'!$P$6:$T$57,"&lt;0")+COUNTIF('04_OPEX年度运营'!$P$6:$T$36,"&lt;0")+COUNTIF('05_原辅料BOM'!$P$6:$T$48,"&lt;0")</x:f>
        <x:v>0</x:v>
      </x:c>
      <x:c r="C15" s="50" t="n">
        <x:v>0</x:v>
      </x:c>
      <x:c r="D15" s="50" t="n">
        <x:f>B15-C15</x:f>
        <x:v>0</x:v>
      </x:c>
      <x:c r="E15" s="50" t="n">
        <x:v>0</x:v>
      </x:c>
      <x:c r="F15" s="31" t="str">
        <x:f>IF(D15=0,"PASS","FAIL")</x:f>
        <x:v>PASS</x:v>
      </x:c>
      <x:c r="G15" s="12" t="str">
        <x:v>三张明细表 P:T</x:v>
      </x:c>
      <x:c r="H15" s="12" t="str">
        <x:v>不允许负价格</x:v>
      </x:c>
    </x:row>
    <x:row r="16">
      <x:c r="A16" t="str">
        <x:v>流程映射完整</x:v>
      </x:c>
      <x:c r="B16" s="50" t="n">
        <x:f>COUNTBLANK('03_CAPEX建设设备'!$AA$6:$AA$57)+COUNTBLANK('04_OPEX年度运营'!$AA$6:$AA$36)+COUNTBLANK('05_原辅料BOM'!$AA$6:$AA$48)</x:f>
        <x:v>0</x:v>
      </x:c>
      <x:c r="C16" s="50" t="n">
        <x:v>0</x:v>
      </x:c>
      <x:c r="D16" s="50" t="n">
        <x:f>B16-C16</x:f>
        <x:v>0</x:v>
      </x:c>
      <x:c r="E16" s="50" t="n">
        <x:v>0</x:v>
      </x:c>
      <x:c r="F16" s="31" t="str">
        <x:f>IF(D16=0,"PASS","FAIL")</x:f>
        <x:v>PASS</x:v>
      </x:c>
      <x:c r="G16" s="12" t="str">
        <x:v>三张明细表 AA 列</x:v>
      </x:c>
      <x:c r="H16" s="12" t="str">
        <x:v>每个采购项映射到源流程</x:v>
      </x:c>
    </x:row>
    <x:row r="17">
      <x:c r="A17" t="str">
        <x:v>替代品覆盖</x:v>
      </x:c>
      <x:c r="B17" s="50" t="n">
        <x:f>COUNTA('06_替代品矩阵'!$A$6:$A$262)</x:f>
        <x:v>257</x:v>
      </x:c>
      <x:c r="C17" s="50" t="n">
        <x:v>257</x:v>
      </x:c>
      <x:c r="D17" s="50" t="n">
        <x:f>B17-C17</x:f>
        <x:v>0</x:v>
      </x:c>
      <x:c r="E17" s="50" t="n">
        <x:v>0</x:v>
      </x:c>
      <x:c r="F17" s="31" t="str">
        <x:f>IF(D17=0,"PASS","FAIL")</x:f>
        <x:v>PASS</x:v>
      </x:c>
      <x:c r="G17" s="12" t="str">
        <x:v>06_替代品矩阵</x:v>
      </x:c>
      <x:c r="H17" s="12" t="str">
        <x:v>每项至少一个替代方案</x:v>
      </x:c>
    </x:row>
    <x:row r="18">
      <x:c r="A18" t="str">
        <x:v>评分权重合计</x:v>
      </x:c>
      <x:c r="B18" s="50" t="n">
        <x:f>'02_假设与情景'!$H$12</x:f>
        <x:v>1</x:v>
      </x:c>
      <x:c r="C18" s="50" t="n">
        <x:v>1</x:v>
      </x:c>
      <x:c r="D18" s="50" t="n">
        <x:f>B18-C18</x:f>
        <x:v>0</x:v>
      </x:c>
      <x:c r="E18" s="50" t="n">
        <x:v>0.000001</x:v>
      </x:c>
      <x:c r="F18" s="31" t="str">
        <x:f>IF(ABS(D18)&lt;=E18,"PASS","FAIL")</x:f>
        <x:v>PASS</x:v>
      </x:c>
      <x:c r="G18" s="12" t="str">
        <x:v>02_假设与情景 H6:H11</x:v>
      </x:c>
      <x:c r="H18" s="12" t="str">
        <x:v>六个权重必须合计100%</x:v>
      </x:c>
    </x:row>
    <x:row r="19">
      <x:c r="A19" t="str">
        <x:v>待询价项目计数</x:v>
      </x:c>
      <x:c r="B19" s="50" t="n">
        <x:f>'01_执行摘要'!$J$13</x:f>
        <x:v>78</x:v>
      </x:c>
      <x:c r="C19" s="50" t="n">
        <x:v>78</x:v>
      </x:c>
      <x:c r="D19" s="50" t="n">
        <x:f>B19-C19</x:f>
        <x:v>0</x:v>
      </x:c>
      <x:c r="E19" s="50" t="n">
        <x:v>0</x:v>
      </x:c>
      <x:c r="F19" s="31" t="str">
        <x:f>IF(D19=0,"PASS","FAIL")</x:f>
        <x:v>PASS</x:v>
      </x:c>
      <x:c r="G19" s="12" t="str">
        <x:v>01_执行摘要!J13</x:v>
      </x:c>
      <x:c r="H19" s="12" t="str">
        <x:v>应与研究数据中的精确状态计数一致</x:v>
      </x:c>
    </x:row>
    <x:row r="20">
      <x:c r="A20" t="str">
        <x:v>外部公式错误扫描</x:v>
      </x:c>
      <x:c r="B20" s="50" t="n">
        <x:v>0</x:v>
      </x:c>
      <x:c r="C20" s="50" t="n">
        <x:v>0</x:v>
      </x:c>
      <x:c r="D20" s="50" t="n">
        <x:f>B20-C20</x:f>
        <x:v>0</x:v>
      </x:c>
      <x:c r="E20" s="50" t="n">
        <x:v>0</x:v>
      </x:c>
      <x:c r="F20" s="31" t="str">
        <x:f>IF(D20=0,"PASS","FAIL")</x:f>
        <x:v>PASS</x:v>
      </x:c>
      <x:c r="G20" s="12" t="str">
        <x:v>verify_budget_workbook.mjs</x:v>
      </x:c>
      <x:c r="H20" s="12" t="str">
        <x:v>导出后由独立校验器扫描公式错误</x:v>
      </x:c>
    </x:row>
    <x:row r="21">
      <x:c r="A21" t="str">
        <x:v>有效寡核苷酸数</x:v>
      </x:c>
      <x:c r="B21" s="50" t="n">
        <x:f>'11_最终分子设计'!$B$22</x:f>
        <x:v>12</x:v>
      </x:c>
      <x:c r="C21" s="50" t="n">
        <x:v>12</x:v>
      </x:c>
      <x:c r="D21" s="50" t="n">
        <x:f>IF(B21=C21,0,1)</x:f>
        <x:v>0</x:v>
      </x:c>
      <x:c r="E21" s="50" t="n">
        <x:v>0</x:v>
      </x:c>
      <x:c r="F21" s="31" t="str">
        <x:f>IF(D21=0,"PASS","FAIL")</x:f>
        <x:v>PASS</x:v>
      </x:c>
      <x:c r="G21" s="12" t="str">
        <x:v>11_最终分子设计!B22</x:v>
      </x:c>
      <x:c r="H21" s="12" t="str">
        <x:v>两条PCR引物、H1-H7和P/C/F必须完整</x:v>
      </x:c>
    </x:row>
    <x:row r="22">
      <x:c r="A22" t="str">
        <x:v>P/F碱基一致</x:v>
      </x:c>
      <x:c r="B22" s="50" t="str">
        <x:f>'11_最终分子设计'!$B$23</x:f>
        <x:v>PASS</x:v>
      </x:c>
      <x:c r="C22" s="50" t="str">
        <x:v>PASS</x:v>
      </x:c>
      <x:c r="D22" s="50" t="n">
        <x:f>IF(B22=C22,0,1)</x:f>
        <x:v>0</x:v>
      </x:c>
      <x:c r="E22" s="50" t="n">
        <x:v>0</x:v>
      </x:c>
      <x:c r="F22" s="31" t="str">
        <x:f>IF(D22=0,"PASS","FAIL")</x:f>
        <x:v>PASS</x:v>
      </x:c>
      <x:c r="G22" s="12" t="str">
        <x:v>11_最终分子设计!B23</x:v>
      </x:c>
      <x:c r="H22" s="12" t="str">
        <x:v>P/F碱基相同但修饰和用途不同</x:v>
      </x:c>
    </x:row>
    <x:row r="23">
      <x:c r="A23" t="str">
        <x:v>C采购方向转换</x:v>
      </x:c>
      <x:c r="B23" s="50" t="str">
        <x:f>'11_最终分子设计'!$B$24</x:f>
        <x:v>PASS</x:v>
      </x:c>
      <x:c r="C23" s="50" t="str">
        <x:v>PASS</x:v>
      </x:c>
      <x:c r="D23" s="50" t="n">
        <x:f>IF(B23=C23,0,1)</x:f>
        <x:v>0</x:v>
      </x:c>
      <x:c r="E23" s="50" t="n">
        <x:v>0</x:v>
      </x:c>
      <x:c r="F23" s="31" t="str">
        <x:f>IF(D23=0,"PASS","FAIL")</x:f>
        <x:v>PASS</x:v>
      </x:c>
      <x:c r="G23" s="12" t="str">
        <x:v>11_最终分子设计!B24</x:v>
      </x:c>
      <x:c r="H23" s="12" t="str">
        <x:v>原文3′→5′已转为采购5′→3′</x:v>
      </x:c>
    </x:row>
    <x:row r="24">
      <x:c r="A24" t="str">
        <x:v>H1-H7完整覆盖</x:v>
      </x:c>
      <x:c r="B24" s="50" t="str">
        <x:f>'11_最终分子设计'!$B$25</x:f>
        <x:v>PASS</x:v>
      </x:c>
      <x:c r="C24" s="50" t="str">
        <x:v>PASS</x:v>
      </x:c>
      <x:c r="D24" s="50" t="n">
        <x:f>IF(B24=C24,0,1)</x:f>
        <x:v>0</x:v>
      </x:c>
      <x:c r="E24" s="50" t="n">
        <x:v>0</x:v>
      </x:c>
      <x:c r="F24" s="31" t="str">
        <x:f>IF(D24=0,"PASS","FAIL")</x:f>
        <x:v>PASS</x:v>
      </x:c>
      <x:c r="G24" s="12" t="str">
        <x:v>11_最终分子设计!B25</x:v>
      </x:c>
      <x:c r="H24" s="12" t="str">
        <x:v>PANDA七条helper不得漏计</x:v>
      </x:c>
    </x:row>
    <x:row r="25">
      <x:c r="A25" t="str">
        <x:v>旧竞争C/封闭C占位</x:v>
      </x:c>
      <x:c r="B25" s="50" t="n">
        <x:f>SUM('05_原辅料BOM'!$G$11:$J$11)+SUM('05_原辅料BOM'!$U$11:$W$11)</x:f>
        <x:v>0</x:v>
      </x:c>
      <x:c r="C25" s="50" t="n">
        <x:v>0</x:v>
      </x:c>
      <x:c r="D25" s="50" t="n">
        <x:f>IF(B25=C25,0,1)</x:f>
        <x:v>0</x:v>
      </x:c>
      <x:c r="E25" s="50" t="n">
        <x:v>0</x:v>
      </x:c>
      <x:c r="F25" s="31" t="str">
        <x:f>IF(D25=0,"PASS","FAIL")</x:f>
        <x:v>PASS</x:v>
      </x:c>
      <x:c r="G25" s="12" t="str">
        <x:v>05_原辅料BOM!11</x:v>
      </x:c>
      <x:c r="H25" s="12" t="str">
        <x:v>旧6链冲突占位必须保持0，不进入成本汇总</x:v>
      </x:c>
    </x:row>
  </x:sheetData>
  <x:mergeCells>
    <x:mergeCell ref="A1:H1"/>
    <x:mergeCell ref="A2:H2"/>
  </x:mergeCells>
  <x:conditionalFormatting sqref="B3:B3">
    <x:cfRule type="containsText" dxfId="13" priority="1" operator="containsText" text="PASS"/>
    <x:cfRule type="containsText" dxfId="14" priority="2" operator="containsText" text="FAIL"/>
  </x:conditionalFormatting>
  <x:conditionalFormatting sqref="F7:F25">
    <x:cfRule type="containsText" dxfId="15" priority="3" operator="containsText" text="PASS"/>
    <x:cfRule type="containsText" dxfId="16" priority="4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42" hidden="0" customWidth="1"/>
    <x:col min="4" max="4" width="46" hidden="0" customWidth="1"/>
    <x:col min="5" max="5" width="28" hidden="0" customWidth="1"/>
    <x:col min="6" max="6" width="10" hidden="0" customWidth="1"/>
    <x:col min="7" max="7" width="13" hidden="0" customWidth="1"/>
    <x:col min="8" max="8" width="13" hidden="0" customWidth="1"/>
    <x:col min="9" max="9" width="25" hidden="0" customWidth="1"/>
    <x:col min="10" max="10" width="28" hidden="0" customWidth="1"/>
    <x:col min="11" max="11" width="24" hidden="0" customWidth="1"/>
    <x:col min="12" max="12" width="24" hidden="0" customWidth="1"/>
    <x:col min="13" max="13" width="22" hidden="0" customWidth="1"/>
    <x:col min="14" max="14" width="24" hidden="0" customWidth="1"/>
  </x:cols>
  <x:sheetData>
    <x:row r="1" ht="30" customHeight="1">
      <x:c r="A1" s="3" t="str">
        <x:v>最终分子设计与采购契约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四份用户指定DOCX共同构成最终基线；发生交叉冲突时按字段归属定责，不再沿用更早版本。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0" t="str">
        <x:v>最终采购契约（12条有效寡核苷酸：2引物+7 helper+P/C/F）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>
      <x:c r="A5" s="25" t="str">
        <x:v>ID</x:v>
      </x:c>
      <x:c r="B5" s="26" t="str">
        <x:v>角色</x:v>
      </x:c>
      <x:c r="C5" s="26" t="str">
        <x:v>最终设计文档原文</x:v>
      </x:c>
      <x:c r="D5" s="26" t="str">
        <x:v>采购5'→3'序列</x:v>
      </x:c>
      <x:c r="E5" s="26" t="str">
        <x:v>碱基序列（5'→3'）</x:v>
      </x:c>
      <x:c r="F5" s="26" t="str">
        <x:v>长度（nt）</x:v>
      </x:c>
      <x:c r="G5" s="26" t="str">
        <x:v>5'商业修饰名</x:v>
      </x:c>
      <x:c r="H5" s="26" t="str">
        <x:v>3'商业修饰名</x:v>
      </x:c>
      <x:c r="I5" s="26" t="str">
        <x:v>骨架/方向</x:v>
      </x:c>
      <x:c r="J5" s="26" t="str">
        <x:v>纯化口径</x:v>
      </x:c>
      <x:c r="K5" s="26" t="str">
        <x:v>设计Tm/体系信息</x:v>
      </x:c>
      <x:c r="L5" s="26" t="str">
        <x:v>配方投料/反应条件</x:v>
      </x:c>
      <x:c r="M5" s="26" t="str">
        <x:v>用途</x:v>
      </x:c>
      <x:c r="N5" s="27" t="str">
        <x:v>状态</x:v>
      </x:c>
    </x:row>
    <x:row r="6">
      <x:c r="A6" s="13" t="str">
        <x:v>MOL-001</x:v>
      </x:c>
      <x:c r="B6" s="13" t="str">
        <x:v>正向PCR引物</x:v>
      </x:c>
      <x:c r="C6" s="13" t="str">
        <x:v>5'-CTTCATGAAGACCTCACAGT-3'</x:v>
      </x:c>
      <x:c r="D6" s="13" t="str">
        <x:v>5'-CTTCATGAAGACCTCACAGT-3'</x:v>
      </x:c>
      <x:c r="E6" s="13" t="str">
        <x:v>CTTCATGAAGACCTCACAGT</x:v>
      </x:c>
      <x:c r="F6" s="68" t="n">
        <x:v>21</x:v>
      </x:c>
      <x:c r="G6" s="13" t="str"/>
      <x:c r="H6" s="13" t="str"/>
      <x:c r="I6" s="13" t="str">
        <x:v>无C3/PS/荧光/淬灭</x:v>
      </x:c>
      <x:c r="J6" s="13" t="str">
        <x:v>HPLC（论文方法；RFQ确认）</x:v>
      </x:c>
      <x:c r="K6" s="13" t="str">
        <x:v>PCR方法退火52℃</x:v>
      </x:c>
      <x:c r="L6" s="13" t="str">
        <x:v>PCR Mix库存 680 μL×0.53 μM/盒</x:v>
      </x:c>
      <x:c r="M6" s="13" t="str">
        <x:v>PCR上游扩增</x:v>
      </x:c>
      <x:c r="N6" s="13" t="str">
        <x:v>最终序列已确认；价格待RFQ</x:v>
      </x:c>
    </x:row>
    <x:row r="7">
      <x:c r="A7" s="13" t="str">
        <x:v>MOL-002</x:v>
      </x:c>
      <x:c r="B7" s="13" t="str">
        <x:v>反向PCR引物</x:v>
      </x:c>
      <x:c r="C7" s="13" t="str">
        <x:v>5'-GGATCCAGACAACTGTTCAA-3'</x:v>
      </x:c>
      <x:c r="D7" s="13" t="str">
        <x:v>5'-GGATCCAGACAACTGTTCAA-3'</x:v>
      </x:c>
      <x:c r="E7" s="13" t="str">
        <x:v>GGATCCAGACAACTGTTCAA</x:v>
      </x:c>
      <x:c r="F7" s="68" t="n">
        <x:v>20</x:v>
      </x:c>
      <x:c r="G7" s="13" t="str"/>
      <x:c r="H7" s="13" t="str"/>
      <x:c r="I7" s="13" t="str">
        <x:v>无C3/PS/荧光/淬灭</x:v>
      </x:c>
      <x:c r="J7" s="13" t="str">
        <x:v>HPLC（论文方法；RFQ确认）</x:v>
      </x:c>
      <x:c r="K7" s="13" t="str">
        <x:v>PCR方法退火52℃</x:v>
      </x:c>
      <x:c r="L7" s="13" t="str">
        <x:v>PCR Mix库存 680 μL×0.53 μM/盒</x:v>
      </x:c>
      <x:c r="M7" s="13" t="str">
        <x:v>PCR下游扩增</x:v>
      </x:c>
      <x:c r="N7" s="13" t="str">
        <x:v>最终序列已确认；价格待RFQ</x:v>
      </x:c>
    </x:row>
    <x:row r="8">
      <x:c r="A8" s="13" t="str">
        <x:v>MOL-003</x:v>
      </x:c>
      <x:c r="B8" s="13" t="str">
        <x:v>H1</x:v>
      </x:c>
      <x:c r="C8" s="13" t="str">
        <x:v>3'-GTACTTCTGGAGTGTCATTTTTATCCACTAAA-5'</x:v>
      </x:c>
      <x:c r="D8" s="13" t="str">
        <x:v>5'-AAATCACCTATTTTTACTGTGAGGTCTTCATG-3'</x:v>
      </x:c>
      <x:c r="E8" s="13" t="str">
        <x:v>AAATCACCTATTTTTACTGTGAGGTCTTCATG</x:v>
      </x:c>
      <x:c r="F8" s="68" t="n">
        <x:v>32</x:v>
      </x:c>
      <x:c r="G8" s="13" t="str"/>
      <x:c r="H8" s="13" t="str"/>
      <x:c r="I8" s="13" t="str">
        <x:v>原文3'→5'，采购反向书写</x:v>
      </x:c>
      <x:c r="J8" s="13" t="str">
        <x:v>HPLC（论文方法；RFQ确认）</x:v>
      </x:c>
      <x:c r="K8" s="13" t="str">
        <x:v>Tm 51.3℃</x:v>
      </x:c>
      <x:c r="L8" s="13" t="str">
        <x:v>2×PANDA库存 500 μL×1 μM/盒</x:v>
      </x:c>
      <x:c r="M8" s="13" t="str">
        <x:v>结合正义扩增子</x:v>
      </x:c>
      <x:c r="N8" s="13" t="str">
        <x:v>方向已转换；价格待RFQ</x:v>
      </x:c>
    </x:row>
    <x:row r="9">
      <x:c r="A9" s="13" t="str">
        <x:v>MOL-004</x:v>
      </x:c>
      <x:c r="B9" s="13" t="str">
        <x:v>H2</x:v>
      </x:c>
      <x:c r="C9" s="13" t="str">
        <x:v>3'-TACCTCACCCAGGGTAGT-5'</x:v>
      </x:c>
      <x:c r="D9" s="13" t="str">
        <x:v>5'-TGATGGGACCCACTCCAT-3'</x:v>
      </x:c>
      <x:c r="E9" s="13" t="str">
        <x:v>TGATGGGACCCACTCCAT</x:v>
      </x:c>
      <x:c r="F9" s="68" t="n">
        <x:v>18</x:v>
      </x:c>
      <x:c r="G9" s="13" t="str"/>
      <x:c r="H9" s="13" t="str"/>
      <x:c r="I9" s="13" t="str">
        <x:v>原文3'→5'，采购反向书写</x:v>
      </x:c>
      <x:c r="J9" s="13" t="str">
        <x:v>HPLC（论文方法；RFQ确认）</x:v>
      </x:c>
      <x:c r="K9" s="13" t="str">
        <x:v>Tm 56.3℃</x:v>
      </x:c>
      <x:c r="L9" s="13" t="str">
        <x:v>2×PANDA库存 500 μL×1 μM/盒</x:v>
      </x:c>
      <x:c r="M9" s="13" t="str">
        <x:v>结合正义扩增子</x:v>
      </x:c>
      <x:c r="N9" s="13" t="str">
        <x:v>方向已转换；价格待RFQ</x:v>
      </x:c>
    </x:row>
    <x:row r="10">
      <x:c r="A10" s="13" t="str">
        <x:v>MOL-005</x:v>
      </x:c>
      <x:c r="B10" s="13" t="str">
        <x:v>H3</x:v>
      </x:c>
      <x:c r="C10" s="13" t="str">
        <x:v>3'-CTTGTCAACAGACCTAGG-5'</x:v>
      </x:c>
      <x:c r="D10" s="13" t="str">
        <x:v>5'-GGATCCAGACAACTGTTC-3'</x:v>
      </x:c>
      <x:c r="E10" s="13" t="str">
        <x:v>GGATCCAGACAACTGTTC</x:v>
      </x:c>
      <x:c r="F10" s="68" t="n">
        <x:v>18</x:v>
      </x:c>
      <x:c r="G10" s="13" t="str"/>
      <x:c r="H10" s="13" t="str"/>
      <x:c r="I10" s="13" t="str">
        <x:v>原文3'→5'，采购反向书写</x:v>
      </x:c>
      <x:c r="J10" s="13" t="str">
        <x:v>HPLC（论文方法；RFQ确认）</x:v>
      </x:c>
      <x:c r="K10" s="13" t="str">
        <x:v>Tm 55.5℃</x:v>
      </x:c>
      <x:c r="L10" s="13" t="str">
        <x:v>2×PANDA库存 500 μL×1 μM/盒</x:v>
      </x:c>
      <x:c r="M10" s="13" t="str">
        <x:v>结合正义扩增子</x:v>
      </x:c>
      <x:c r="N10" s="13" t="str">
        <x:v>方向已转换；价格待RFQ</x:v>
      </x:c>
    </x:row>
    <x:row r="11">
      <x:c r="A11" s="13" t="str">
        <x:v>MOL-006</x:v>
      </x:c>
      <x:c r="B11" s="13" t="str">
        <x:v>H4</x:v>
      </x:c>
      <x:c r="C11" s="13" t="str">
        <x:v>5'-CTTCATGAAGACCTCACAG-3'</x:v>
      </x:c>
      <x:c r="D11" s="13" t="str">
        <x:v>5'-CTTCATGAAGACCTCACAG-3'</x:v>
      </x:c>
      <x:c r="E11" s="13" t="str">
        <x:v>CTTCATGAAGACCTCACAG</x:v>
      </x:c>
      <x:c r="F11" s="68" t="n">
        <x:v>19</x:v>
      </x:c>
      <x:c r="G11" s="13" t="str"/>
      <x:c r="H11" s="13" t="str"/>
      <x:c r="I11" s="13" t="str">
        <x:v>无修饰DNA</x:v>
      </x:c>
      <x:c r="J11" s="13" t="str">
        <x:v>HPLC（论文方法；RFQ确认）</x:v>
      </x:c>
      <x:c r="K11" s="13" t="str">
        <x:v>Tm 53.9℃</x:v>
      </x:c>
      <x:c r="L11" s="13" t="str">
        <x:v>2×PANDA库存 500 μL×1 μM/盒</x:v>
      </x:c>
      <x:c r="M11" s="13" t="str">
        <x:v>结合反义扩增子</x:v>
      </x:c>
      <x:c r="N11" s="13" t="str">
        <x:v>最终序列已确认；价格待RFQ</x:v>
      </x:c>
    </x:row>
    <x:row r="12">
      <x:c r="A12" s="13" t="str">
        <x:v>MOL-007</x:v>
      </x:c>
      <x:c r="B12" s="13" t="str">
        <x:v>H5</x:v>
      </x:c>
      <x:c r="C12" s="13" t="str">
        <x:v>5'-GGTGATTTTGGTCTAGCTACAG-3'</x:v>
      </x:c>
      <x:c r="D12" s="13" t="str">
        <x:v>5'-GGTGATTTTGGTCTAGCTACAG-3'</x:v>
      </x:c>
      <x:c r="E12" s="13" t="str">
        <x:v>GGTGATTTTGGTCTAGCTACAG</x:v>
      </x:c>
      <x:c r="F12" s="68" t="n">
        <x:v>22</x:v>
      </x:c>
      <x:c r="G12" s="13" t="str"/>
      <x:c r="H12" s="13" t="str"/>
      <x:c r="I12" s="13" t="str">
        <x:v>无修饰DNA</x:v>
      </x:c>
      <x:c r="J12" s="13" t="str">
        <x:v>HPLC（论文方法；RFQ确认）</x:v>
      </x:c>
      <x:c r="K12" s="13" t="str">
        <x:v>Tm 54.4℃</x:v>
      </x:c>
      <x:c r="L12" s="13" t="str">
        <x:v>2×PANDA库存 500 μL×1 μM/盒</x:v>
      </x:c>
      <x:c r="M12" s="13" t="str">
        <x:v>结合反义扩增子</x:v>
      </x:c>
      <x:c r="N12" s="13" t="str">
        <x:v>最终序列已确认；价格待RFQ</x:v>
      </x:c>
    </x:row>
    <x:row r="13">
      <x:c r="A13" s="13" t="str">
        <x:v>MOL-008</x:v>
      </x:c>
      <x:c r="B13" s="13" t="str">
        <x:v>H6</x:v>
      </x:c>
      <x:c r="C13" s="13" t="str">
        <x:v>5'-CGATGGAGTGGGTCCCAT-3'</x:v>
      </x:c>
      <x:c r="D13" s="13" t="str">
        <x:v>5'-CGATGGAGTGGGTCCCAT-3'</x:v>
      </x:c>
      <x:c r="E13" s="13" t="str">
        <x:v>CGATGGAGTGGGTCCCAT</x:v>
      </x:c>
      <x:c r="F13" s="68" t="n">
        <x:v>18</x:v>
      </x:c>
      <x:c r="G13" s="13" t="str"/>
      <x:c r="H13" s="13" t="str"/>
      <x:c r="I13" s="13" t="str">
        <x:v>无修饰DNA</x:v>
      </x:c>
      <x:c r="J13" s="13" t="str">
        <x:v>HPLC（论文方法；RFQ确认）</x:v>
      </x:c>
      <x:c r="K13" s="13" t="str">
        <x:v>Tm 56.6℃</x:v>
      </x:c>
      <x:c r="L13" s="13" t="str">
        <x:v>2×PANDA库存 500 μL×1 μM/盒</x:v>
      </x:c>
      <x:c r="M13" s="13" t="str">
        <x:v>结合反义扩增子</x:v>
      </x:c>
      <x:c r="N13" s="13" t="str">
        <x:v>最终序列已确认；价格待RFQ</x:v>
      </x:c>
    </x:row>
    <x:row r="14">
      <x:c r="A14" s="13" t="str">
        <x:v>MOL-009</x:v>
      </x:c>
      <x:c r="B14" s="13" t="str">
        <x:v>H7</x:v>
      </x:c>
      <x:c r="C14" s="13" t="str">
        <x:v>5'-TTGAACAGTTGTCTGGATCC-3'</x:v>
      </x:c>
      <x:c r="D14" s="13" t="str">
        <x:v>5'-TTGAACAGTTGTCTGGATCC-3'</x:v>
      </x:c>
      <x:c r="E14" s="13" t="str">
        <x:v>TTGAACAGTTGTCTGGATCC</x:v>
      </x:c>
      <x:c r="F14" s="68" t="n">
        <x:v>20</x:v>
      </x:c>
      <x:c r="G14" s="13" t="str"/>
      <x:c r="H14" s="13" t="str"/>
      <x:c r="I14" s="13" t="str">
        <x:v>无修饰DNA</x:v>
      </x:c>
      <x:c r="J14" s="13" t="str">
        <x:v>HPLC（论文方法；RFQ确认）</x:v>
      </x:c>
      <x:c r="K14" s="13" t="str">
        <x:v>Tm 54.1℃</x:v>
      </x:c>
      <x:c r="L14" s="13" t="str">
        <x:v>2×PANDA库存 500 μL×1 μM/盒</x:v>
      </x:c>
      <x:c r="M14" s="13" t="str">
        <x:v>结合反义扩增子</x:v>
      </x:c>
      <x:c r="N14" s="13" t="str">
        <x:v>最终序列已确认；价格待RFQ</x:v>
      </x:c>
    </x:row>
    <x:row r="15">
      <x:c r="A15" s="13" t="str">
        <x:v>MOL-010</x:v>
      </x:c>
      <x:c r="B15" s="13" t="str">
        <x:v>P链</x:v>
      </x:c>
      <x:c r="C15" s="13" t="str">
        <x:v>BHQ2-5'-TGGTCTAGCTACAGAGA-3'-BHQ1</x:v>
      </x:c>
      <x:c r="D15" s="13" t="str">
        <x:v>5'-BHQ2-TGGTCTAGCTACAGAGA-3'-BHQ1</x:v>
      </x:c>
      <x:c r="E15" s="13" t="str">
        <x:v>TGGTCTAGCTACAGAGA</x:v>
      </x:c>
      <x:c r="F15" s="68" t="n">
        <x:v>17</x:v>
      </x:c>
      <x:c r="G15" s="13" t="str">
        <x:v>BHQ2</x:v>
      </x:c>
      <x:c r="H15" s="13" t="str">
        <x:v>BHQ1</x:v>
      </x:c>
      <x:c r="I15" s="13" t="str">
        <x:v>双端淬灭；商品名不代表端位</x:v>
      </x:c>
      <x:c r="J15" s="13" t="str">
        <x:v>HPLC（论文方法；RFQ确认）</x:v>
      </x:c>
      <x:c r="K15" s="13" t="str">
        <x:v>CP Tm 55.6℃</x:v>
      </x:c>
      <x:c r="L15" s="13" t="str">
        <x:v>3×CD库存 500 μL×750 nM/盒</x:v>
      </x:c>
      <x:c r="M15" s="13" t="str">
        <x:v>与C形成CP双链</x:v>
      </x:c>
      <x:c r="N15" s="13" t="str">
        <x:v>端位已确认；组合价待RFQ</x:v>
      </x:c>
    </x:row>
    <x:row r="16">
      <x:c r="A16" s="13" t="str">
        <x:v>MOL-011</x:v>
      </x:c>
      <x:c r="B16" s="13" t="str">
        <x:v>C链</x:v>
      </x:c>
      <x:c r="C16" s="13" t="str">
        <x:v>FAM-3'-ACCAGATCGATGTCTCTTTAGA-5'-ROX</x:v>
      </x:c>
      <x:c r="D16" s="13" t="str">
        <x:v>5'-ROX-AGATTTCTCTGTAGCTAGACCA-3'-FAM</x:v>
      </x:c>
      <x:c r="E16" s="13" t="str">
        <x:v>AGATTTCTCTGTAGCTAGACCA</x:v>
      </x:c>
      <x:c r="F16" s="68" t="n">
        <x:v>22</x:v>
      </x:c>
      <x:c r="G16" s="13" t="str">
        <x:v>ROX</x:v>
      </x:c>
      <x:c r="H16" s="13" t="str">
        <x:v>FAM</x:v>
      </x:c>
      <x:c r="I16" s="13" t="str">
        <x:v>原文3'→5'；商品名不代表端位</x:v>
      </x:c>
      <x:c r="J16" s="13" t="str">
        <x:v>HPLC（论文方法；RFQ确认）</x:v>
      </x:c>
      <x:c r="K16" s="13" t="str">
        <x:v>CTc 53.0℃ / CTs 43.8℃</x:v>
      </x:c>
      <x:c r="L16" s="13" t="str">
        <x:v>3×CD库存 500 μL×750 nM/盒</x:v>
      </x:c>
      <x:c r="M16" s="13" t="str">
        <x:v>双通道报告链</x:v>
      </x:c>
      <x:c r="N16" s="13" t="str">
        <x:v>方向和端位已确认；组合价待RFQ</x:v>
      </x:c>
    </x:row>
    <x:row r="17">
      <x:c r="A17" s="13" t="str">
        <x:v>MOL-012</x:v>
      </x:c>
      <x:c r="B17" s="13" t="str">
        <x:v>F链</x:v>
      </x:c>
      <x:c r="C17" s="13" t="str">
        <x:v>BHQ2-5'-TGGTCTAGCTACAGAGA-3'</x:v>
      </x:c>
      <x:c r="D17" s="13" t="str">
        <x:v>5'-BHQ2-TGGTCTAGCTACAGAGA-3'</x:v>
      </x:c>
      <x:c r="E17" s="13" t="str">
        <x:v>TGGTCTAGCTACAGAGA</x:v>
      </x:c>
      <x:c r="F17" s="68" t="n">
        <x:v>17</x:v>
      </x:c>
      <x:c r="G17" s="13" t="str">
        <x:v>BHQ2</x:v>
      </x:c>
      <x:c r="H17" s="13" t="str"/>
      <x:c r="I17" s="13" t="str">
        <x:v>单5'淬灭；与P碱基相同</x:v>
      </x:c>
      <x:c r="J17" s="13" t="str">
        <x:v>HPLC（论文方法；RFQ确认）</x:v>
      </x:c>
      <x:c r="K17" s="13" t="str">
        <x:v>催化燃料链</x:v>
      </x:c>
      <x:c r="L17" s="13" t="str">
        <x:v>3×CD库存 500 μL×1140 nM/盒</x:v>
      </x:c>
      <x:c r="M17" s="13" t="str">
        <x:v>生成CF并再生目标链</x:v>
      </x:c>
      <x:c r="N17" s="13" t="str">
        <x:v>端位已确认；组合价待RFQ</x:v>
      </x:c>
    </x:row>
    <x:row r="20">
      <x:c r="A20" s="10" t="str">
        <x:v>契约放行检查</x:v>
      </x:c>
      <x:c r="B20" s="10"/>
      <x:c r="C20" s="10"/>
      <x:c r="D20" s="10"/>
      <x:c r="E20" s="10"/>
      <x:c r="F20" s="10"/>
    </x:row>
    <x:row r="21">
      <x:c r="A21" s="25" t="str">
        <x:v>Check</x:v>
      </x:c>
      <x:c r="B21" s="26" t="str">
        <x:v>Actual</x:v>
      </x:c>
      <x:c r="C21" s="26" t="str">
        <x:v>Expected</x:v>
      </x:c>
      <x:c r="D21" s="26" t="str">
        <x:v>Difference</x:v>
      </x:c>
      <x:c r="E21" s="26" t="str">
        <x:v>Status</x:v>
      </x:c>
      <x:c r="F21" s="27" t="str">
        <x:v>Notes</x:v>
      </x:c>
    </x:row>
    <x:row r="22">
      <x:c r="A22" t="str">
        <x:v>有效寡核苷酸数</x:v>
      </x:c>
      <x:c r="B22" s="31" t="n">
        <x:f>COUNTA(A6:A17)</x:f>
        <x:v>12</x:v>
      </x:c>
      <x:c r="C22" s="31" t="n">
        <x:v>12</x:v>
      </x:c>
      <x:c r="D22" s="31" t="n">
        <x:f>IF(B22=C22,0,1)</x:f>
        <x:v>0</x:v>
      </x:c>
      <x:c r="E22" s="31" t="str">
        <x:f>IF(D22=0,"PASS","FAIL")</x:f>
        <x:v>PASS</x:v>
      </x:c>
      <x:c r="F22" t="str">
        <x:v>两条PCR引物、H1-H7和P/C/F，共12条有效采购链</x:v>
      </x:c>
    </x:row>
    <x:row r="23">
      <x:c r="A23" t="str">
        <x:v>P/F碱基序列一致</x:v>
      </x:c>
      <x:c r="B23" s="31" t="str">
        <x:f>IF(E15=E17,"PASS","FAIL")</x:f>
        <x:v>PASS</x:v>
      </x:c>
      <x:c r="C23" s="31" t="str">
        <x:v>PASS</x:v>
      </x:c>
      <x:c r="D23" s="31" t="n">
        <x:f>IF(B23=C23,0,1)</x:f>
        <x:v>0</x:v>
      </x:c>
      <x:c r="E23" s="31" t="str">
        <x:f>IF(D23=0,"PASS","FAIL")</x:f>
        <x:v>PASS</x:v>
      </x:c>
      <x:c r="F23" t="str">
        <x:v>P和F碱基相同，但修饰和用途不同</x:v>
      </x:c>
    </x:row>
    <x:row r="24">
      <x:c r="A24" t="str">
        <x:v>C采购方向转换</x:v>
      </x:c>
      <x:c r="B24" s="31" t="str">
        <x:f>IF(D16="5'-ROX-AGATTTCTCTGTAGCTAGACCA-3'-FAM","PASS","FAIL")</x:f>
        <x:v>PASS</x:v>
      </x:c>
      <x:c r="C24" s="31" t="str">
        <x:v>PASS</x:v>
      </x:c>
      <x:c r="D24" s="31" t="n">
        <x:f>IF(B24=C24,0,1)</x:f>
        <x:v>0</x:v>
      </x:c>
      <x:c r="E24" s="31" t="str">
        <x:f>IF(D24=0,"PASS","FAIL")</x:f>
        <x:v>PASS</x:v>
      </x:c>
      <x:c r="F24" t="str">
        <x:v>原文按3'→5'书写，采购序列已反转并保留ROX/FAM端位</x:v>
      </x:c>
    </x:row>
    <x:row r="25">
      <x:c r="A25" t="str">
        <x:v>H1-H7完整覆盖</x:v>
      </x:c>
      <x:c r="B25" s="31" t="str">
        <x:f>IF(COUNTA(A8:A14)=7,"PASS","FAIL")</x:f>
        <x:v>PASS</x:v>
      </x:c>
      <x:c r="C25" s="31" t="str">
        <x:v>PASS</x:v>
      </x:c>
      <x:c r="D25" s="31" t="n">
        <x:f>IF(B25=C25,0,1)</x:f>
        <x:v>0</x:v>
      </x:c>
      <x:c r="E25" s="31" t="str">
        <x:f>IF(D25=0,"PASS","FAIL")</x:f>
        <x:v>PASS</x:v>
      </x:c>
      <x:c r="F25" t="str">
        <x:v>PANDA七条helper必须全部采购，不能被旧6链描述遗漏</x:v>
      </x:c>
    </x:row>
    <x:row r="27" ht="34" customHeight="1">
      <x:c r="A27" s="59" t="str">
        <x:v>字段级冲突规则：正反义探针设计锁定12条序列/方向/修饰端位；核心原理&amp;诊断流程锁定七管、产品库存配方、42℃及485/520+575/610；Manuscript锁定机理、HPLC和研究反应基线；整套生产流程锁定厂房/设备，但其中旧6链、漏PANDA/NTC和3支对照描述作废。</x:v>
      </x:c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</x:row>
    <x:row r="28" ht="34" customHeight="1">
      <x:c r="A28" s="59" t="str">
        <x:v>FAM、ROX、BHQ1、BHQ2是商业修饰名，不是独立寡核苷酸。RFQ必须逐条写明碱基序列、5′/3′端位、纯化、质谱/HPLC质控、规模、税运和失败重合成责任；论文早期C/F端位文字不得覆盖最终设计。</x:v>
      </x:c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</x:row>
    <x:row r="29" ht="34" customHeight="1">
      <x:c r="A29" s="59" t="str">
        <x:v>库存配方与每盒投料已闭合：PCR Mix 680 μL、2×PANDA Mix 500 μL、3×CD Mix 500 μL，WT/100%阳性/0.1%弱阳性/NTC各80 μL，七管合计2,000 μL且均含死体积。论文的20 nM CP和380 nM F是研究反应浓度，属于另一个反应稀释/性能验证口径，不再作为BOM数量缺口。详见13_七管配方。</x:v>
      </x:c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</x:row>
    <x:row r="30" ht="34" customHeight="1">
      <x:c r="A30" s="59" t="str">
        <x:v>缓冲/检测条件也分层：论文研究体系为0.5% Tween-20、37℃、FAM 485/525和ROX 585/616；核心产品配方为PANDA 0.02%/CD 0.03%、42℃、FAM 485/520和ROX 575/610。本成本数量按核心产品库存配方，设备URS和工程验证必须覆盖两套条件。</x:v>
      </x:c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</x:row>
  </x:sheetData>
  <x:mergeCells>
    <x:mergeCell ref="A1:N1"/>
    <x:mergeCell ref="A2:N2"/>
    <x:mergeCell ref="A4:N4"/>
    <x:mergeCell ref="A20:F20"/>
    <x:mergeCell ref="A27:N27"/>
    <x:mergeCell ref="A28:N28"/>
    <x:mergeCell ref="A29:N29"/>
    <x:mergeCell ref="A30:N30"/>
  </x:mergeCells>
  <x:conditionalFormatting sqref="N6:N17">
    <x:cfRule type="containsText" dxfId="8" priority="1" operator="containsText" text="待RFQ"/>
  </x:conditionalFormatting>
  <x:conditionalFormatting sqref="E22:E25">
    <x:cfRule type="containsText" dxfId="9" priority="2" operator="containsText" text="PASS"/>
    <x:cfRule type="containsText" dxfId="10" priority="3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4" hidden="0" customWidth="1"/>
    <x:col min="4" max="4" width="15" hidden="0" customWidth="1"/>
    <x:col min="5" max="5" width="68" hidden="0" customWidth="1"/>
    <x:col min="6" max="6" width="16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七管成品配方与每盒投料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核心原理&amp;诊断流程.docx 明确给出的七管体积、每孔加样量和库存浓度；所有体积均已包含死体积。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每盒七管产品配置（成本BOM直接采用本表）</x:v>
      </x:c>
      <x:c r="B4" s="10"/>
      <x:c r="C4" s="10"/>
      <x:c r="D4" s="10"/>
      <x:c r="E4" s="10"/>
      <x:c r="F4" s="10"/>
      <x:c r="G4" s="10"/>
      <x:c r="H4" s="10"/>
    </x:row>
    <x:row r="5">
      <x:c r="A5" s="25" t="str">
        <x:v>管号</x:v>
      </x:c>
      <x:c r="B5" s="26" t="str">
        <x:v>成品管</x:v>
      </x:c>
      <x:c r="C5" s="26" t="str">
        <x:v>每盒体积</x:v>
      </x:c>
      <x:c r="D5" s="26" t="str">
        <x:v>每孔/次加样</x:v>
      </x:c>
      <x:c r="E5" s="26" t="str">
        <x:v>配方与库存浓度</x:v>
      </x:c>
      <x:c r="F5" s="26" t="str">
        <x:v>每盒投料量</x:v>
      </x:c>
      <x:c r="G5" s="26" t="str">
        <x:v>保存/包装</x:v>
      </x:c>
      <x:c r="H5" s="27" t="str">
        <x:v>文档依据</x:v>
      </x:c>
    </x:row>
    <x:row r="6" ht="58" customHeight="1">
      <x:c r="A6" s="68" t="n">
        <x:v>1</x:v>
      </x:c>
      <x:c r="B6" s="13" t="str">
        <x:v>PCR Mix</x:v>
      </x:c>
      <x:c r="C6" s="13" t="str">
        <x:v>680 μL</x:v>
      </x:c>
      <x:c r="D6" s="13" t="str">
        <x:v>15 μL/孔</x:v>
      </x:c>
      <x:c r="E6" s="13" t="str">
        <x:v>26.7 mM Tris-HCl（pH 8.5）；2 mM MgCl2；四种dNTP各267 μM；正/反引物各0.53 μM；Taq 0.067 U/μL</x:v>
      </x:c>
      <x:c r="F6" s="13" t="str">
        <x:v>680 μL/盒</x:v>
      </x:c>
      <x:c r="G6" s="13" t="str">
        <x:v>不透光管；-20℃</x:v>
      </x:c>
      <x:c r="H6" s="13" t="str">
        <x:v>核心流程：七管试剂体积与物料浓度第1项</x:v>
      </x:c>
    </x:row>
    <x:row r="7" ht="58" customHeight="1">
      <x:c r="A7" s="68" t="n">
        <x:v>2</x:v>
      </x:c>
      <x:c r="B7" s="13" t="str">
        <x:v>2× PANDA Mix</x:v>
      </x:c>
      <x:c r="C7" s="13" t="str">
        <x:v>500 μL</x:v>
      </x:c>
      <x:c r="D7" s="13" t="str">
        <x:v>10 μL/孔</x:v>
      </x:c>
      <x:c r="E7" s="13" t="str">
        <x:v>40 mM Tris-HCl（pH 8.0）；100 mM KCl；23.5 mM MgCl2；0.02% Tween-20；H1-H7各1000 nM</x:v>
      </x:c>
      <x:c r="F7" s="13" t="str">
        <x:v>500 μL/盒</x:v>
      </x:c>
      <x:c r="G7" s="13" t="str">
        <x:v>不透光管；-20℃</x:v>
      </x:c>
      <x:c r="H7" s="13" t="str">
        <x:v>核心流程：七管试剂体积与物料浓度第2项</x:v>
      </x:c>
    </x:row>
    <x:row r="8" ht="58" customHeight="1">
      <x:c r="A8" s="68" t="n">
        <x:v>3</x:v>
      </x:c>
      <x:c r="B8" s="13" t="str">
        <x:v>3× CD Mix</x:v>
      </x:c>
      <x:c r="C8" s="13" t="str">
        <x:v>500 μL</x:v>
      </x:c>
      <x:c r="D8" s="13" t="str">
        <x:v>10 μL/孔</x:v>
      </x:c>
      <x:c r="E8" s="13" t="str">
        <x:v>60 mM Tris-HCl（pH 8.0）；12.5 mM MgCl2；0.03% Tween-20；CP双链750 nM；F单链1140 nM</x:v>
      </x:c>
      <x:c r="F8" s="13" t="str">
        <x:v>500 μL/盒</x:v>
      </x:c>
      <x:c r="G8" s="13" t="str">
        <x:v>不透光管；-20℃</x:v>
      </x:c>
      <x:c r="H8" s="13" t="str">
        <x:v>核心流程：七管试剂体积与物料浓度第3项</x:v>
      </x:c>
    </x:row>
    <x:row r="9" ht="58" customHeight="1">
      <x:c r="A9" s="68" t="n">
        <x:v>4</x:v>
      </x:c>
      <x:c r="B9" s="13" t="str">
        <x:v>BRAF WT阴性对照DNA</x:v>
      </x:c>
      <x:c r="C9" s="13" t="str">
        <x:v>80 μL</x:v>
      </x:c>
      <x:c r="D9" s="13" t="str">
        <x:v>5 μL/孔</x:v>
      </x:c>
      <x:c r="E9" s="13" t="str">
        <x:v>400 copies/μL阴性质粒；pUC57+WT完整插入序列</x:v>
      </x:c>
      <x:c r="F9" s="13" t="str">
        <x:v>80 μL/盒</x:v>
      </x:c>
      <x:c r="G9" s="13" t="str">
        <x:v>不透光管；-20℃</x:v>
      </x:c>
      <x:c r="H9" s="13" t="str">
        <x:v>核心流程：阴性对照第4项</x:v>
      </x:c>
    </x:row>
    <x:row r="10" ht="58" customHeight="1">
      <x:c r="A10" s="68" t="n">
        <x:v>5</x:v>
      </x:c>
      <x:c r="B10" s="13" t="str">
        <x:v>BRAF V600E 100%阳性对照DNA</x:v>
      </x:c>
      <x:c r="C10" s="13" t="str">
        <x:v>80 μL</x:v>
      </x:c>
      <x:c r="D10" s="13" t="str">
        <x:v>5 μL/孔</x:v>
      </x:c>
      <x:c r="E10" s="13" t="str">
        <x:v>400 copies/μL阳性质粒；pUC57+SNV完整插入序列</x:v>
      </x:c>
      <x:c r="F10" s="13" t="str">
        <x:v>80 μL/盒</x:v>
      </x:c>
      <x:c r="G10" s="13" t="str">
        <x:v>不透光管；-20℃</x:v>
      </x:c>
      <x:c r="H10" s="13" t="str">
        <x:v>核心流程：100%阳性第5项</x:v>
      </x:c>
    </x:row>
    <x:row r="11" ht="58" customHeight="1">
      <x:c r="A11" s="68" t="n">
        <x:v>6</x:v>
      </x:c>
      <x:c r="B11" s="13" t="str">
        <x:v>0.1%弱阳性混合DNA</x:v>
      </x:c>
      <x:c r="C11" s="13" t="str">
        <x:v>80 μL</x:v>
      </x:c>
      <x:c r="D11" s="13" t="str">
        <x:v>5 μL/孔</x:v>
      </x:c>
      <x:c r="E11" s="13" t="str">
        <x:v>399.6 copies/μL阴性 + 0.4 copies/μL阳性</x:v>
      </x:c>
      <x:c r="F11" s="13" t="str">
        <x:v>80 μL/盒</x:v>
      </x:c>
      <x:c r="G11" s="13" t="str">
        <x:v>不透光管；-20℃</x:v>
      </x:c>
      <x:c r="H11" s="13" t="str">
        <x:v>核心流程：0.1%弱阳性第6项</x:v>
      </x:c>
    </x:row>
    <x:row r="12" ht="58" customHeight="1">
      <x:c r="A12" s="68" t="n">
        <x:v>7</x:v>
      </x:c>
      <x:c r="B12" s="13" t="str">
        <x:v>NTC无酶水</x:v>
      </x:c>
      <x:c r="C12" s="13" t="str">
        <x:v>80 μL</x:v>
      </x:c>
      <x:c r="D12" s="13" t="str">
        <x:v>5 μL/孔</x:v>
      </x:c>
      <x:c r="E12" s="13" t="str">
        <x:v>无酶无菌水</x:v>
      </x:c>
      <x:c r="F12" s="13" t="str">
        <x:v>80 μL/盒</x:v>
      </x:c>
      <x:c r="G12" s="13" t="str">
        <x:v>不透光管；-20℃</x:v>
      </x:c>
      <x:c r="H12" s="13" t="str">
        <x:v>核心流程：NTC第7项</x:v>
      </x:c>
    </x:row>
    <x:row r="15">
      <x:c r="A15" s="10" t="str">
        <x:v>七管数量闭合检查</x:v>
      </x:c>
      <x:c r="B15" s="10"/>
      <x:c r="C15" s="10"/>
      <x:c r="D15" s="10"/>
      <x:c r="E15" s="10"/>
      <x:c r="F15" s="10"/>
    </x:row>
    <x:row r="16">
      <x:c r="A16" s="25" t="str">
        <x:v>检查项</x:v>
      </x:c>
      <x:c r="B16" s="26" t="str">
        <x:v>实际</x:v>
      </x:c>
      <x:c r="C16" s="26" t="str">
        <x:v>期望</x:v>
      </x:c>
      <x:c r="D16" s="26" t="str">
        <x:v>差异</x:v>
      </x:c>
      <x:c r="E16" s="26" t="str">
        <x:v>状态</x:v>
      </x:c>
      <x:c r="F16" s="27" t="str">
        <x:v>说明</x:v>
      </x:c>
    </x:row>
    <x:row r="17">
      <x:c r="A17" t="str">
        <x:v>成品管数</x:v>
      </x:c>
      <x:c r="B17" s="31" t="n">
        <x:f>COUNTA(B6:B12)</x:f>
        <x:v>7</x:v>
      </x:c>
      <x:c r="C17" s="31" t="n">
        <x:v>7</x:v>
      </x:c>
      <x:c r="D17" s="31" t="n">
        <x:f>IF(B17=C17,0,1)</x:f>
        <x:v>0</x:v>
      </x:c>
      <x:c r="E17" s="31" t="str">
        <x:f>IF(D17=0,"PASS","FAIL")</x:f>
        <x:v>PASS</x:v>
      </x:c>
      <x:c r="F17" t="str">
        <x:v>PCR、PANDA、CD、WT、100%阳性、0.1%弱阳性、NTC</x:v>
      </x:c>
    </x:row>
    <x:row r="18">
      <x:c r="A18" t="str">
        <x:v>七管总液体量（μL/盒）</x:v>
      </x:c>
      <x:c r="B18" s="31" t="n">
        <x:f>680+500+500+80*4</x:f>
        <x:v>2000</x:v>
      </x:c>
      <x:c r="C18" s="31" t="n">
        <x:v>2000</x:v>
      </x:c>
      <x:c r="D18" s="31" t="n">
        <x:f>IF(B18=C18,0,1)</x:f>
        <x:v>0</x:v>
      </x:c>
      <x:c r="E18" s="31" t="str">
        <x:f>IF(D18=0,"PASS","FAIL")</x:f>
        <x:v>PASS</x:v>
      </x:c>
      <x:c r="F18" t="str">
        <x:v>680 + 500 + 500 + 80×4；所有体积已含死体积</x:v>
      </x:c>
    </x:row>
    <x:row r="19">
      <x:c r="A19" t="str">
        <x:v>四份对照/NTC管</x:v>
      </x:c>
      <x:c r="B19" s="31" t="n">
        <x:f>COUNTA(B9:B12)</x:f>
        <x:v>4</x:v>
      </x:c>
      <x:c r="C19" s="31" t="n">
        <x:v>4</x:v>
      </x:c>
      <x:c r="D19" s="31" t="n">
        <x:f>IF(B19=C19,0,1)</x:f>
        <x:v>0</x:v>
      </x:c>
      <x:c r="E19" s="31" t="str">
        <x:f>IF(D19=0,"PASS","FAIL")</x:f>
        <x:v>PASS</x:v>
      </x:c>
      <x:c r="F19" t="str">
        <x:v>WT、100%阳性、0.1%弱阳性和NTC</x:v>
      </x:c>
    </x:row>
    <x:row r="21" ht="38" customHeight="1">
      <x:c r="A21" s="59" t="str">
        <x:v>成本闭合：BOM-014无核酸酶水按2.000 mL/盒计；BOM-016/017/018/019分别按每盒2/1/4/7支（个）计。成品良率与物料损耗仍由BOM数量公式统一处理。</x:v>
      </x:c>
      <x:c r="B21" s="59"/>
      <x:c r="C21" s="59"/>
      <x:c r="D21" s="59"/>
      <x:c r="E21" s="59"/>
      <x:c r="F21" s="59"/>
      <x:c r="G21" s="59"/>
      <x:c r="H21" s="59"/>
    </x:row>
    <x:row r="22" ht="38" customHeight="1">
      <x:c r="A22" s="59" t="str">
        <x:v>研究条件分层：Manuscript中的20 nM CP、380 nM F是研究反应浓度；本表的750 nM CP、1140 nM F是核心流程3×CD Mix库存配方。两者不混用，前者只影响稀释/性能验证，不影响本表和BOM的每盒库存数量。</x:v>
      </x:c>
      <x:c r="B22" s="59"/>
      <x:c r="C22" s="59"/>
      <x:c r="D22" s="59"/>
      <x:c r="E22" s="59"/>
      <x:c r="F22" s="59"/>
      <x:c r="G22" s="59"/>
      <x:c r="H22" s="59"/>
    </x:row>
    <x:row r="23" ht="38" customHeight="1">
      <x:c r="A23" s="59" t="str">
        <x:v>工程放大前仍需验证CD Mix的实际稀释倍数、反应动力学和光学读数；这属于产品性能确认，不是七管物料量缺失。</x:v>
      </x:c>
      <x:c r="B23" s="59"/>
      <x:c r="C23" s="59"/>
      <x:c r="D23" s="59"/>
      <x:c r="E23" s="59"/>
      <x:c r="F23" s="59"/>
      <x:c r="G23" s="59"/>
      <x:c r="H23" s="59"/>
    </x:row>
  </x:sheetData>
  <x:mergeCells>
    <x:mergeCell ref="A1:H1"/>
    <x:mergeCell ref="A2:H2"/>
    <x:mergeCell ref="A4:H4"/>
    <x:mergeCell ref="A15:F15"/>
    <x:mergeCell ref="A21:H21"/>
    <x:mergeCell ref="A22:H22"/>
    <x:mergeCell ref="A23:H23"/>
  </x:mergeCells>
  <x:conditionalFormatting sqref="E17:E19">
    <x:cfRule type="containsText" dxfId="11" priority="1" operator="containsText" text="PASS"/>
    <x:cfRule type="containsText" dxfId="12" priority="2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4" hidden="0" customWidth="1"/>
  </x:cols>
  <x:sheetData>
    <x:row r="1" ht="30" customHeight="1">
      <x:c r="A1" s="3" t="str">
        <x:v>方案推荐、价格趋势与采购敏感性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折扣作用于12条有效寡核苷酸；0%/25%/40%是内部采购情景，不是供应商公开承诺。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三档方案对比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</x:row>
    <x:row r="5">
      <x:c r="A5" s="25" t="str">
        <x:v>方案</x:v>
      </x:c>
      <x:c r="B5" s="26" t="str">
        <x:v>年产能（盒）</x:v>
      </x:c>
      <x:c r="C5" s="26" t="str">
        <x:v>寡核苷酸折扣</x:v>
      </x:c>
      <x:c r="D5" s="26" t="str">
        <x:v>CAPEX</x:v>
      </x:c>
      <x:c r="E5" s="26" t="str">
        <x:v>OPEX</x:v>
      </x:c>
      <x:c r="F5" s="26" t="str">
        <x:v>基准BOM</x:v>
      </x:c>
      <x:c r="G5" s="26" t="str">
        <x:v>有效12链BOM</x:v>
      </x:c>
      <x:c r="H5" s="26" t="str">
        <x:v>折扣后BOM</x:v>
      </x:c>
      <x:c r="I5" s="26" t="str">
        <x:v>首年资金</x:v>
      </x:c>
      <x:c r="J5" s="26" t="str">
        <x:v>单位制造成本</x:v>
      </x:c>
      <x:c r="K5" s="27" t="str">
        <x:v>推荐结论</x:v>
      </x:c>
    </x:row>
    <x:row r="6">
      <x:c r="A6" s="29" t="str">
        <x:v>A 研发/中试</x:v>
      </x:c>
      <x:c r="B6" s="70" t="n">
        <x:f>'02_假设与情景'!$C$16</x:f>
        <x:v>10000</x:v>
      </x:c>
      <x:c r="C6" s="37" t="n">
        <x:v>0</x:v>
      </x:c>
      <x:c r="D6" s="71" t="n">
        <x:f>ROUND(SUMPRODUCT('03_CAPEX建设设备'!$G$6:$G$57,'03_CAPEX建设设备'!$P$6:$P$57),2)</x:f>
        <x:v>11842000</x:v>
      </x:c>
      <x:c r="E6" s="71" t="n">
        <x:f>ROUND(SUMPRODUCT('04_OPEX年度运营'!$G$6:$G$36,'04_OPEX年度运营'!$P$6:$P$36),2)</x:f>
        <x:v>8165620</x:v>
      </x:c>
      <x:c r="F6" s="71" t="n">
        <x:f>ROUND(ROUND('05_原辅料BOM'!$G$6/'02_假设与情景'!$B$8*(1+'02_假设与情景'!$B$9)*'05_原辅料BOM'!$P$6,2)+ROUND('05_原辅料BOM'!$G$7/'02_假设与情景'!$B$8*(1+'02_假设与情景'!$B$9)*'05_原辅料BOM'!$P$7,2)+ROUND('05_原辅料BOM'!$G$8/'02_假设与情景'!$B$8*(1+'02_假设与情景'!$B$9)*'05_原辅料BOM'!$P$8,2)+ROUND('05_原辅料BOM'!$G$9/'02_假设与情景'!$B$8*(1+'02_假设与情景'!$B$9)*'05_原辅料BOM'!$P$9,2)+ROUND('05_原辅料BOM'!$G$10/'02_假设与情景'!$B$8*(1+'02_假设与情景'!$B$9)*'05_原辅料BOM'!$P$10,2)+ROUND('05_原辅料BOM'!$G$11/'02_假设与情景'!$B$8*(1+'02_假设与情景'!$B$9)*'05_原辅料BOM'!$P$11,2)+ROUND('05_原辅料BOM'!$G$12*'05_原辅料BOM'!$P$12,2)+ROUND('05_原辅料BOM'!$G$13*'05_原辅料BOM'!$P$13,2)+ROUND('05_原辅料BOM'!$G$14/'02_假设与情景'!$B$8*(1+'02_假设与情景'!$B$9)*'05_原辅料BOM'!$P$14,2)+ROUND('05_原辅料BOM'!$G$15/'02_假设与情景'!$B$8*(1+'02_假设与情景'!$B$9)*'05_原辅料BOM'!$P$15,2)+ROUND('05_原辅料BOM'!$G$16/'02_假设与情景'!$B$8*(1+'02_假设与情景'!$B$9)*'05_原辅料BOM'!$P$16,2)+ROUND('05_原辅料BOM'!$G$17/'02_假设与情景'!$B$8*(1+'02_假设与情景'!$B$9)*'05_原辅料BOM'!$P$17,2)+ROUND('05_原辅料BOM'!$G$18/'02_假设与情景'!$B$8*(1+'02_假设与情景'!$B$9)*'05_原辅料BOM'!$P$18,2)+ROUND('05_原辅料BOM'!$G$19/'02_假设与情景'!$B$8*(1+'02_假设与情景'!$B$9)*'05_原辅料BOM'!$P$19,2)+ROUND('05_原辅料BOM'!$G$20*'05_原辅料BOM'!$P$20,2)+ROUND('05_原辅料BOM'!$G$21/'02_假设与情景'!$B$8*(1+'02_假设与情景'!$B$9)*'05_原辅料BOM'!$P$21,2)+ROUND('05_原辅料BOM'!$G$22/'02_假设与情景'!$B$8*(1+'02_假设与情景'!$B$9)*'05_原辅料BOM'!$P$22,2)+ROUND('05_原辅料BOM'!$G$23/'02_假设与情景'!$B$8*(1+'02_假设与情景'!$B$9)*'05_原辅料BOM'!$P$23,2)+ROUND('05_原辅料BOM'!$G$24/'02_假设与情景'!$B$8*(1+'02_假设与情景'!$B$9)*'05_原辅料BOM'!$P$24,2)+ROUND('05_原辅料BOM'!$G$25/'02_假设与情景'!$B$8*(1+'02_假设与情景'!$B$9)*'05_原辅料BOM'!$P$25,2)+ROUND('05_原辅料BOM'!$G$26/'02_假设与情景'!$B$8*(1+'02_假设与情景'!$B$9)*'05_原辅料BOM'!$P$26,2)+ROUND('05_原辅料BOM'!$G$27/'02_假设与情景'!$B$8*(1+'02_假设与情景'!$B$9)*'05_原辅料BOM'!$P$27,2)+ROUND('05_原辅料BOM'!$G$28/'02_假设与情景'!$B$8*(1+'02_假设与情景'!$B$9)*'05_原辅料BOM'!$P$28,2)+ROUND('05_原辅料BOM'!$G$29/'02_假设与情景'!$B$8*(1+'02_假设与情景'!$B$9)*'05_原辅料BOM'!$P$29,2)+ROUND('05_原辅料BOM'!$G$30*'05_原辅料BOM'!$P$30,2)+ROUND('05_原辅料BOM'!$G$31*'05_原辅料BOM'!$P$31,2)+ROUND('05_原辅料BOM'!$G$32*'05_原辅料BOM'!$P$32,2)+ROUND('05_原辅料BOM'!$G$33*'05_原辅料BOM'!$P$33,2)+ROUND('05_原辅料BOM'!$G$34*'05_原辅料BOM'!$P$34,2)+ROUND('05_原辅料BOM'!$G$35*'05_原辅料BOM'!$P$35,2)+ROUND('05_原辅料BOM'!$G$36*'05_原辅料BOM'!$P$36,2)+ROUND('05_原辅料BOM'!$G$37*'05_原辅料BOM'!$P$37,2)+ROUND('05_原辅料BOM'!$G$38*'05_原辅料BOM'!$P$38,2)+ROUND('05_原辅料BOM'!$G$39*'05_原辅料BOM'!$P$39,2)+ROUND('05_原辅料BOM'!$G$40*'05_原辅料BOM'!$P$40,2)+ROUND('05_原辅料BOM'!$G$41/'02_假设与情景'!$B$8*(1+'02_假设与情景'!$B$9)*'05_原辅料BOM'!$P$41,2)+ROUND('05_原辅料BOM'!$G$42/'02_假设与情景'!$B$8*(1+'02_假设与情景'!$B$9)*'05_原辅料BOM'!$P$42,2)+ROUND('05_原辅料BOM'!$G$43/'02_假设与情景'!$B$8*(1+'02_假设与情景'!$B$9)*'05_原辅料BOM'!$P$43,2)+ROUND('05_原辅料BOM'!$G$44/'02_假设与情景'!$B$8*(1+'02_假设与情景'!$B$9)*'05_原辅料BOM'!$P$44,2)+ROUND('05_原辅料BOM'!$G$45/'02_假设与情景'!$B$8*(1+'02_假设与情景'!$B$9)*'05_原辅料BOM'!$P$45,2)+ROUND('05_原辅料BOM'!$G$46/'02_假设与情景'!$B$8*(1+'02_假设与情景'!$B$9)*'05_原辅料BOM'!$P$46,2)+ROUND('05_原辅料BOM'!$G$47/'02_假设与情景'!$B$8*(1+'02_假设与情景'!$B$9)*'05_原辅料BOM'!$P$47,2)+ROUND('05_原辅料BOM'!$G$48/'02_假设与情景'!$B$8*(1+'02_假设与情景'!$B$9)*'05_原辅料BOM'!$P$48,2),2)</x:f>
        <x:v>1975732.85</x:v>
      </x:c>
      <x:c r="G6" s="71" t="n">
        <x:f>ROUND(ROUND('05_原辅料BOM'!$G$6/'02_假设与情景'!$B$8*(1+'02_假设与情景'!$B$9)*'05_原辅料BOM'!$P$6,2)+ROUND('05_原辅料BOM'!$G$7/'02_假设与情景'!$B$8*(1+'02_假设与情景'!$B$9)*'05_原辅料BOM'!$P$7,2)+ROUND('05_原辅料BOM'!$G$8/'02_假设与情景'!$B$8*(1+'02_假设与情景'!$B$9)*'05_原辅料BOM'!$P$8,2)+ROUND('05_原辅料BOM'!$G$9/'02_假设与情景'!$B$8*(1+'02_假设与情景'!$B$9)*'05_原辅料BOM'!$P$9,2)+ROUND('05_原辅料BOM'!$G$10/'02_假设与情景'!$B$8*(1+'02_假设与情景'!$B$9)*'05_原辅料BOM'!$P$10,2)+ROUND('05_原辅料BOM'!$G$41/'02_假设与情景'!$B$8*(1+'02_假设与情景'!$B$9)*'05_原辅料BOM'!$P$41,2)+ROUND('05_原辅料BOM'!$G$42/'02_假设与情景'!$B$8*(1+'02_假设与情景'!$B$9)*'05_原辅料BOM'!$P$42,2)+ROUND('05_原辅料BOM'!$G$43/'02_假设与情景'!$B$8*(1+'02_假设与情景'!$B$9)*'05_原辅料BOM'!$P$43,2)+ROUND('05_原辅料BOM'!$G$44/'02_假设与情景'!$B$8*(1+'02_假设与情景'!$B$9)*'05_原辅料BOM'!$P$44,2)+ROUND('05_原辅料BOM'!$G$45/'02_假设与情景'!$B$8*(1+'02_假设与情景'!$B$9)*'05_原辅料BOM'!$P$45,2)+ROUND('05_原辅料BOM'!$G$46/'02_假设与情景'!$B$8*(1+'02_假设与情景'!$B$9)*'05_原辅料BOM'!$P$46,2)+ROUND('05_原辅料BOM'!$G$47/'02_假设与情景'!$B$8*(1+'02_假设与情景'!$B$9)*'05_原辅料BOM'!$P$47,2),2)</x:f>
        <x:v>553084.67</x:v>
      </x:c>
      <x:c r="H6" s="71" t="n">
        <x:f>ROUND(F6-G6+G6*(1-C6),2)</x:f>
        <x:v>1975732.85</x:v>
      </x:c>
      <x:c r="I6" s="71" t="n">
        <x:f>ROUND(D6*(1+'02_假设与情景'!$B$10)+E6*(1+'02_假设与情景'!$B$11)+H6+H6/12*'02_假设与情景'!$B$12,2)</x:f>
        <x:v>24386931.26</x:v>
      </x:c>
      <x:c r="J6" s="72" t="n">
        <x:f>ROUND((E6+H6)/B6,2)</x:f>
        <x:v>1014.14</x:v>
      </x:c>
      <x:c r="K6" s="12" t="str">
        <x:v>小批量、全部外包；先验证性能和RFQ</x:v>
      </x:c>
    </x:row>
    <x:row r="7">
      <x:c r="A7" s="29" t="str">
        <x:v>B 平衡商业化（推荐）</x:v>
      </x:c>
      <x:c r="B7" s="70" t="n">
        <x:f>'02_假设与情景'!$C$17</x:f>
        <x:v>50000</x:v>
      </x:c>
      <x:c r="C7" s="37" t="n">
        <x:v>0.25</x:v>
      </x:c>
      <x:c r="D7" s="71" t="n">
        <x:f>ROUND(SUMPRODUCT('03_CAPEX建设设备'!$H$6:$H$57,'03_CAPEX建设设备'!$P$6:$P$57),2)</x:f>
        <x:v>15503000</x:v>
      </x:c>
      <x:c r="E7" s="71" t="n">
        <x:f>ROUND(SUMPRODUCT('04_OPEX年度运营'!$H$6:$H$36,'04_OPEX年度运营'!$P$6:$P$36),2)</x:f>
        <x:v>13939700</x:v>
      </x:c>
      <x:c r="F7" s="71" t="n">
        <x:f>ROUND(ROUND('05_原辅料BOM'!$H$6/'02_假设与情景'!$B$8*(1+'02_假设与情景'!$B$9)*'05_原辅料BOM'!$P$6,2)+ROUND('05_原辅料BOM'!$H$7/'02_假设与情景'!$B$8*(1+'02_假设与情景'!$B$9)*'05_原辅料BOM'!$P$7,2)+ROUND('05_原辅料BOM'!$H$8/'02_假设与情景'!$B$8*(1+'02_假设与情景'!$B$9)*'05_原辅料BOM'!$P$8,2)+ROUND('05_原辅料BOM'!$H$9/'02_假设与情景'!$B$8*(1+'02_假设与情景'!$B$9)*'05_原辅料BOM'!$P$9,2)+ROUND('05_原辅料BOM'!$H$10/'02_假设与情景'!$B$8*(1+'02_假设与情景'!$B$9)*'05_原辅料BOM'!$P$10,2)+ROUND('05_原辅料BOM'!$H$11/'02_假设与情景'!$B$8*(1+'02_假设与情景'!$B$9)*'05_原辅料BOM'!$P$11,2)+ROUND('05_原辅料BOM'!$H$12*'05_原辅料BOM'!$P$12,2)+ROUND('05_原辅料BOM'!$H$13*'05_原辅料BOM'!$P$13,2)+ROUND('05_原辅料BOM'!$H$14/'02_假设与情景'!$B$8*(1+'02_假设与情景'!$B$9)*'05_原辅料BOM'!$P$14,2)+ROUND('05_原辅料BOM'!$H$15/'02_假设与情景'!$B$8*(1+'02_假设与情景'!$B$9)*'05_原辅料BOM'!$P$15,2)+ROUND('05_原辅料BOM'!$H$16/'02_假设与情景'!$B$8*(1+'02_假设与情景'!$B$9)*'05_原辅料BOM'!$P$16,2)+ROUND('05_原辅料BOM'!$H$17/'02_假设与情景'!$B$8*(1+'02_假设与情景'!$B$9)*'05_原辅料BOM'!$P$17,2)+ROUND('05_原辅料BOM'!$H$18/'02_假设与情景'!$B$8*(1+'02_假设与情景'!$B$9)*'05_原辅料BOM'!$P$18,2)+ROUND('05_原辅料BOM'!$H$19/'02_假设与情景'!$B$8*(1+'02_假设与情景'!$B$9)*'05_原辅料BOM'!$P$19,2)+ROUND('05_原辅料BOM'!$H$20*'05_原辅料BOM'!$P$20,2)+ROUND('05_原辅料BOM'!$H$21/'02_假设与情景'!$B$8*(1+'02_假设与情景'!$B$9)*'05_原辅料BOM'!$P$21,2)+ROUND('05_原辅料BOM'!$H$22/'02_假设与情景'!$B$8*(1+'02_假设与情景'!$B$9)*'05_原辅料BOM'!$P$22,2)+ROUND('05_原辅料BOM'!$H$23/'02_假设与情景'!$B$8*(1+'02_假设与情景'!$B$9)*'05_原辅料BOM'!$P$23,2)+ROUND('05_原辅料BOM'!$H$24/'02_假设与情景'!$B$8*(1+'02_假设与情景'!$B$9)*'05_原辅料BOM'!$P$24,2)+ROUND('05_原辅料BOM'!$H$25/'02_假设与情景'!$B$8*(1+'02_假设与情景'!$B$9)*'05_原辅料BOM'!$P$25,2)+ROUND('05_原辅料BOM'!$H$26/'02_假设与情景'!$B$8*(1+'02_假设与情景'!$B$9)*'05_原辅料BOM'!$P$26,2)+ROUND('05_原辅料BOM'!$H$27/'02_假设与情景'!$B$8*(1+'02_假设与情景'!$B$9)*'05_原辅料BOM'!$P$27,2)+ROUND('05_原辅料BOM'!$H$28/'02_假设与情景'!$B$8*(1+'02_假设与情景'!$B$9)*'05_原辅料BOM'!$P$28,2)+ROUND('05_原辅料BOM'!$H$29/'02_假设与情景'!$B$8*(1+'02_假设与情景'!$B$9)*'05_原辅料BOM'!$P$29,2)+ROUND('05_原辅料BOM'!$H$30*'05_原辅料BOM'!$P$30,2)+ROUND('05_原辅料BOM'!$H$31*'05_原辅料BOM'!$P$31,2)+ROUND('05_原辅料BOM'!$H$32*'05_原辅料BOM'!$P$32,2)+ROUND('05_原辅料BOM'!$H$33*'05_原辅料BOM'!$P$33,2)+ROUND('05_原辅料BOM'!$H$34*'05_原辅料BOM'!$P$34,2)+ROUND('05_原辅料BOM'!$H$35*'05_原辅料BOM'!$P$35,2)+ROUND('05_原辅料BOM'!$H$36*'05_原辅料BOM'!$P$36,2)+ROUND('05_原辅料BOM'!$H$37*'05_原辅料BOM'!$P$37,2)+ROUND('05_原辅料BOM'!$H$38*'05_原辅料BOM'!$P$38,2)+ROUND('05_原辅料BOM'!$H$39*'05_原辅料BOM'!$P$39,2)+ROUND('05_原辅料BOM'!$H$40*'05_原辅料BOM'!$P$40,2)+ROUND('05_原辅料BOM'!$H$41/'02_假设与情景'!$B$8*(1+'02_假设与情景'!$B$9)*'05_原辅料BOM'!$P$41,2)+ROUND('05_原辅料BOM'!$H$42/'02_假设与情景'!$B$8*(1+'02_假设与情景'!$B$9)*'05_原辅料BOM'!$P$42,2)+ROUND('05_原辅料BOM'!$H$43/'02_假设与情景'!$B$8*(1+'02_假设与情景'!$B$9)*'05_原辅料BOM'!$P$43,2)+ROUND('05_原辅料BOM'!$H$44/'02_假设与情景'!$B$8*(1+'02_假设与情景'!$B$9)*'05_原辅料BOM'!$P$44,2)+ROUND('05_原辅料BOM'!$H$45/'02_假设与情景'!$B$8*(1+'02_假设与情景'!$B$9)*'05_原辅料BOM'!$P$45,2)+ROUND('05_原辅料BOM'!$H$46/'02_假设与情景'!$B$8*(1+'02_假设与情景'!$B$9)*'05_原辅料BOM'!$P$46,2)+ROUND('05_原辅料BOM'!$H$47/'02_假设与情景'!$B$8*(1+'02_假设与情景'!$B$9)*'05_原辅料BOM'!$P$47,2)+ROUND('05_原辅料BOM'!$H$48/'02_假设与情景'!$B$8*(1+'02_假设与情景'!$B$9)*'05_原辅料BOM'!$P$48,2),2)</x:f>
        <x:v>7347164.2</x:v>
      </x:c>
      <x:c r="G7" s="71" t="n">
        <x:f>ROUND(ROUND('05_原辅料BOM'!$H$6/'02_假设与情景'!$B$8*(1+'02_假设与情景'!$B$9)*'05_原辅料BOM'!$P$6,2)+ROUND('05_原辅料BOM'!$H$7/'02_假设与情景'!$B$8*(1+'02_假设与情景'!$B$9)*'05_原辅料BOM'!$P$7,2)+ROUND('05_原辅料BOM'!$H$8/'02_假设与情景'!$B$8*(1+'02_假设与情景'!$B$9)*'05_原辅料BOM'!$P$8,2)+ROUND('05_原辅料BOM'!$H$9/'02_假设与情景'!$B$8*(1+'02_假设与情景'!$B$9)*'05_原辅料BOM'!$P$9,2)+ROUND('05_原辅料BOM'!$H$10/'02_假设与情景'!$B$8*(1+'02_假设与情景'!$B$9)*'05_原辅料BOM'!$P$10,2)+ROUND('05_原辅料BOM'!$H$41/'02_假设与情景'!$B$8*(1+'02_假设与情景'!$B$9)*'05_原辅料BOM'!$P$41,2)+ROUND('05_原辅料BOM'!$H$42/'02_假设与情景'!$B$8*(1+'02_假设与情景'!$B$9)*'05_原辅料BOM'!$P$42,2)+ROUND('05_原辅料BOM'!$H$43/'02_假设与情景'!$B$8*(1+'02_假设与情景'!$B$9)*'05_原辅料BOM'!$P$43,2)+ROUND('05_原辅料BOM'!$H$44/'02_假设与情景'!$B$8*(1+'02_假设与情景'!$B$9)*'05_原辅料BOM'!$P$44,2)+ROUND('05_原辅料BOM'!$H$45/'02_假设与情景'!$B$8*(1+'02_假设与情景'!$B$9)*'05_原辅料BOM'!$P$45,2)+ROUND('05_原辅料BOM'!$H$46/'02_假设与情景'!$B$8*(1+'02_假设与情景'!$B$9)*'05_原辅料BOM'!$P$46,2)+ROUND('05_原辅料BOM'!$H$47/'02_假设与情景'!$B$8*(1+'02_假设与情景'!$B$9)*'05_原辅料BOM'!$P$47,2),2)</x:f>
        <x:v>2765423.35</x:v>
      </x:c>
      <x:c r="H7" s="71" t="n">
        <x:f>ROUND(F7-G7+G7*(1-C7),2)</x:f>
        <x:v>6655808.36</x:v>
      </x:c>
      <x:c r="I7" s="71" t="n">
        <x:f>ROUND(D7*(1+'02_假设与情景'!$B$10)+E7*(1+'02_假设与情景'!$B$11)+H7+H7/12*'02_假设与情景'!$B$12,2)</x:f>
        <x:v>40183345.75</x:v>
      </x:c>
      <x:c r="J7" s="72" t="n">
        <x:f>ROUND((E7+H7)/B7,2)</x:f>
        <x:v>411.91</x:v>
      </x:c>
      <x:c r="K7" s="12" t="str">
        <x:v>双来源+专用分装设备分阶段自动化；推荐</x:v>
      </x:c>
    </x:row>
    <x:row r="8">
      <x:c r="A8" s="29" t="str">
        <x:v>C 规模量产</x:v>
      </x:c>
      <x:c r="B8" s="70" t="n">
        <x:f>'02_假设与情景'!$C$18</x:f>
        <x:v>200000</x:v>
      </x:c>
      <x:c r="C8" s="37" t="n">
        <x:v>0.4</x:v>
      </x:c>
      <x:c r="D8" s="71" t="n">
        <x:f>ROUND(SUMPRODUCT('03_CAPEX建设设备'!$I$6:$I$57,'03_CAPEX建设设备'!$P$6:$P$57),2)</x:f>
        <x:v>20035000</x:v>
      </x:c>
      <x:c r="E8" s="71" t="n">
        <x:f>ROUND(SUMPRODUCT('04_OPEX年度运营'!$I$6:$I$36,'04_OPEX年度运营'!$P$6:$P$36),2)</x:f>
        <x:v>24647880</x:v>
      </x:c>
      <x:c r="F8" s="71" t="n">
        <x:f>ROUND(ROUND('05_原辅料BOM'!$I$6/'02_假设与情景'!$B$8*(1+'02_假设与情景'!$B$9)*'05_原辅料BOM'!$P$6,2)+ROUND('05_原辅料BOM'!$I$7/'02_假设与情景'!$B$8*(1+'02_假设与情景'!$B$9)*'05_原辅料BOM'!$P$7,2)+ROUND('05_原辅料BOM'!$I$8/'02_假设与情景'!$B$8*(1+'02_假设与情景'!$B$9)*'05_原辅料BOM'!$P$8,2)+ROUND('05_原辅料BOM'!$I$9/'02_假设与情景'!$B$8*(1+'02_假设与情景'!$B$9)*'05_原辅料BOM'!$P$9,2)+ROUND('05_原辅料BOM'!$I$10/'02_假设与情景'!$B$8*(1+'02_假设与情景'!$B$9)*'05_原辅料BOM'!$P$10,2)+ROUND('05_原辅料BOM'!$I$11/'02_假设与情景'!$B$8*(1+'02_假设与情景'!$B$9)*'05_原辅料BOM'!$P$11,2)+ROUND('05_原辅料BOM'!$I$12*'05_原辅料BOM'!$P$12,2)+ROUND('05_原辅料BOM'!$I$13*'05_原辅料BOM'!$P$13,2)+ROUND('05_原辅料BOM'!$I$14/'02_假设与情景'!$B$8*(1+'02_假设与情景'!$B$9)*'05_原辅料BOM'!$P$14,2)+ROUND('05_原辅料BOM'!$I$15/'02_假设与情景'!$B$8*(1+'02_假设与情景'!$B$9)*'05_原辅料BOM'!$P$15,2)+ROUND('05_原辅料BOM'!$I$16/'02_假设与情景'!$B$8*(1+'02_假设与情景'!$B$9)*'05_原辅料BOM'!$P$16,2)+ROUND('05_原辅料BOM'!$I$17/'02_假设与情景'!$B$8*(1+'02_假设与情景'!$B$9)*'05_原辅料BOM'!$P$17,2)+ROUND('05_原辅料BOM'!$I$18/'02_假设与情景'!$B$8*(1+'02_假设与情景'!$B$9)*'05_原辅料BOM'!$P$18,2)+ROUND('05_原辅料BOM'!$I$19/'02_假设与情景'!$B$8*(1+'02_假设与情景'!$B$9)*'05_原辅料BOM'!$P$19,2)+ROUND('05_原辅料BOM'!$I$20*'05_原辅料BOM'!$P$20,2)+ROUND('05_原辅料BOM'!$I$21/'02_假设与情景'!$B$8*(1+'02_假设与情景'!$B$9)*'05_原辅料BOM'!$P$21,2)+ROUND('05_原辅料BOM'!$I$22/'02_假设与情景'!$B$8*(1+'02_假设与情景'!$B$9)*'05_原辅料BOM'!$P$22,2)+ROUND('05_原辅料BOM'!$I$23/'02_假设与情景'!$B$8*(1+'02_假设与情景'!$B$9)*'05_原辅料BOM'!$P$23,2)+ROUND('05_原辅料BOM'!$I$24/'02_假设与情景'!$B$8*(1+'02_假设与情景'!$B$9)*'05_原辅料BOM'!$P$24,2)+ROUND('05_原辅料BOM'!$I$25/'02_假设与情景'!$B$8*(1+'02_假设与情景'!$B$9)*'05_原辅料BOM'!$P$25,2)+ROUND('05_原辅料BOM'!$I$26/'02_假设与情景'!$B$8*(1+'02_假设与情景'!$B$9)*'05_原辅料BOM'!$P$26,2)+ROUND('05_原辅料BOM'!$I$27/'02_假设与情景'!$B$8*(1+'02_假设与情景'!$B$9)*'05_原辅料BOM'!$P$27,2)+ROUND('05_原辅料BOM'!$I$28/'02_假设与情景'!$B$8*(1+'02_假设与情景'!$B$9)*'05_原辅料BOM'!$P$28,2)+ROUND('05_原辅料BOM'!$I$29/'02_假设与情景'!$B$8*(1+'02_假设与情景'!$B$9)*'05_原辅料BOM'!$P$29,2)+ROUND('05_原辅料BOM'!$I$30*'05_原辅料BOM'!$P$30,2)+ROUND('05_原辅料BOM'!$I$31*'05_原辅料BOM'!$P$31,2)+ROUND('05_原辅料BOM'!$I$32*'05_原辅料BOM'!$P$32,2)+ROUND('05_原辅料BOM'!$I$33*'05_原辅料BOM'!$P$33,2)+ROUND('05_原辅料BOM'!$I$34*'05_原辅料BOM'!$P$34,2)+ROUND('05_原辅料BOM'!$I$35*'05_原辅料BOM'!$P$35,2)+ROUND('05_原辅料BOM'!$I$36*'05_原辅料BOM'!$P$36,2)+ROUND('05_原辅料BOM'!$I$37*'05_原辅料BOM'!$P$37,2)+ROUND('05_原辅料BOM'!$I$38*'05_原辅料BOM'!$P$38,2)+ROUND('05_原辅料BOM'!$I$39*'05_原辅料BOM'!$P$39,2)+ROUND('05_原辅料BOM'!$I$40*'05_原辅料BOM'!$P$40,2)+ROUND('05_原辅料BOM'!$I$41/'02_假设与情景'!$B$8*(1+'02_假设与情景'!$B$9)*'05_原辅料BOM'!$P$41,2)+ROUND('05_原辅料BOM'!$I$42/'02_假设与情景'!$B$8*(1+'02_假设与情景'!$B$9)*'05_原辅料BOM'!$P$42,2)+ROUND('05_原辅料BOM'!$I$43/'02_假设与情景'!$B$8*(1+'02_假设与情景'!$B$9)*'05_原辅料BOM'!$P$43,2)+ROUND('05_原辅料BOM'!$I$44/'02_假设与情景'!$B$8*(1+'02_假设与情景'!$B$9)*'05_原辅料BOM'!$P$44,2)+ROUND('05_原辅料BOM'!$I$45/'02_假设与情景'!$B$8*(1+'02_假设与情景'!$B$9)*'05_原辅料BOM'!$P$45,2)+ROUND('05_原辅料BOM'!$I$46/'02_假设与情景'!$B$8*(1+'02_假设与情景'!$B$9)*'05_原辅料BOM'!$P$46,2)+ROUND('05_原辅料BOM'!$I$47/'02_假设与情景'!$B$8*(1+'02_假设与情景'!$B$9)*'05_原辅料BOM'!$P$47,2)+ROUND('05_原辅料BOM'!$I$48/'02_假设与情景'!$B$8*(1+'02_假设与情景'!$B$9)*'05_原辅料BOM'!$P$48,2),2)</x:f>
        <x:v>26404656.78</x:v>
      </x:c>
      <x:c r="G8" s="71" t="n">
        <x:f>ROUND(ROUND('05_原辅料BOM'!$I$6/'02_假设与情景'!$B$8*(1+'02_假设与情景'!$B$9)*'05_原辅料BOM'!$P$6,2)+ROUND('05_原辅料BOM'!$I$7/'02_假设与情景'!$B$8*(1+'02_假设与情景'!$B$9)*'05_原辅料BOM'!$P$7,2)+ROUND('05_原辅料BOM'!$I$8/'02_假设与情景'!$B$8*(1+'02_假设与情景'!$B$9)*'05_原辅料BOM'!$P$8,2)+ROUND('05_原辅料BOM'!$I$9/'02_假设与情景'!$B$8*(1+'02_假设与情景'!$B$9)*'05_原辅料BOM'!$P$9,2)+ROUND('05_原辅料BOM'!$I$10/'02_假设与情景'!$B$8*(1+'02_假设与情景'!$B$9)*'05_原辅料BOM'!$P$10,2)+ROUND('05_原辅料BOM'!$I$41/'02_假设与情景'!$B$8*(1+'02_假设与情景'!$B$9)*'05_原辅料BOM'!$P$41,2)+ROUND('05_原辅料BOM'!$I$42/'02_假设与情景'!$B$8*(1+'02_假设与情景'!$B$9)*'05_原辅料BOM'!$P$42,2)+ROUND('05_原辅料BOM'!$I$43/'02_假设与情景'!$B$8*(1+'02_假设与情景'!$B$9)*'05_原辅料BOM'!$P$43,2)+ROUND('05_原辅料BOM'!$I$44/'02_假设与情景'!$B$8*(1+'02_假设与情景'!$B$9)*'05_原辅料BOM'!$P$44,2)+ROUND('05_原辅料BOM'!$I$45/'02_假设与情景'!$B$8*(1+'02_假设与情景'!$B$9)*'05_原辅料BOM'!$P$45,2)+ROUND('05_原辅料BOM'!$I$46/'02_假设与情景'!$B$8*(1+'02_假设与情景'!$B$9)*'05_原辅料BOM'!$P$46,2)+ROUND('05_原辅料BOM'!$I$47/'02_假设与情景'!$B$8*(1+'02_假设与情景'!$B$9)*'05_原辅料BOM'!$P$47,2),2)</x:f>
        <x:v>11061693.39</x:v>
      </x:c>
      <x:c r="H8" s="71" t="n">
        <x:f>ROUND(F8-G8+G8*(1-C8),2)</x:f>
        <x:v>21979979.42</x:v>
      </x:c>
      <x:c r="I8" s="71" t="n">
        <x:f>ROUND(D8*(1+'02_假设与情景'!$B$10)+E8*(1+'02_假设与情景'!$B$11)+H8+H8/12*'02_假设与情景'!$B$12,2)</x:f>
        <x:v>74702219.72</x:v>
      </x:c>
      <x:c r="J8" s="72" t="n">
        <x:f>ROUND((E8+H8)/B8,2)</x:f>
        <x:v>233.14</x:v>
      </x:c>
      <x:c r="K8" s="12" t="str">
        <x:v>仅在订单和框架采购锁定后扩产；40%为激进假设</x:v>
      </x:c>
    </x:row>
    <x:row r="11">
      <x:c r="A11" s="10" t="str">
        <x:v>宏观价格趋势证据（风险指标，不直接替代寡核苷酸报价）</x:v>
      </x:c>
      <x:c r="B11" s="10"/>
      <x:c r="C11" s="10"/>
      <x:c r="D11" s="10"/>
      <x:c r="E11" s="10"/>
      <x:c r="F11" s="10"/>
      <x:c r="G11" s="10"/>
    </x:row>
    <x:row r="12">
      <x:c r="A12" s="25" t="str">
        <x:v>指标</x:v>
      </x:c>
      <x:c r="B12" s="26" t="str">
        <x:v>2024全年</x:v>
      </x:c>
      <x:c r="C12" s="26" t="str">
        <x:v>2025上半年</x:v>
      </x:c>
      <x:c r="D12" s="26" t="str">
        <x:v>2026-06同比</x:v>
      </x:c>
      <x:c r="E12" s="26" t="str">
        <x:v>变化信号</x:v>
      </x:c>
      <x:c r="F12" s="26" t="str">
        <x:v>用途</x:v>
      </x:c>
      <x:c r="G12" s="27" t="str">
        <x:v>来源</x:v>
      </x:c>
    </x:row>
    <x:row r="13">
      <x:c r="A13" s="12" t="str">
        <x:v>总PPI</x:v>
      </x:c>
      <x:c r="B13" s="73" t="n">
        <x:v>-0.022</x:v>
      </x:c>
      <x:c r="C13" s="73" t="n">
        <x:v>-0.028</x:v>
      </x:c>
      <x:c r="D13" s="73" t="n">
        <x:v>0.041</x:v>
      </x:c>
      <x:c r="E13" s="12" t="str">
        <x:v>先降后升</x:v>
      </x:c>
      <x:c r="F13" s="12" t="str">
        <x:v>总成本宏观背景</x:v>
      </x:c>
      <x:c r="G13" s="74" t="str">
        <x:v>SRC-009 / SRC-010 / SRC-011</x:v>
      </x:c>
    </x:row>
    <x:row r="14">
      <x:c r="A14" s="12" t="str">
        <x:v>化工原料购进</x:v>
      </x:c>
      <x:c r="B14" s="73" t="n">
        <x:v>-0.036</x:v>
      </x:c>
      <x:c r="C14" s="73" t="n">
        <x:v>-0.045</x:v>
      </x:c>
      <x:c r="D14" s="73" t="n">
        <x:v>0.115</x:v>
      </x:c>
      <x:c r="E14" s="12" t="str">
        <x:v>2026反弹</x:v>
      </x:c>
      <x:c r="F14" s="12" t="str">
        <x:v>化学原料价格风险</x:v>
      </x:c>
      <x:c r="G14" s="74" t="str">
        <x:v>SRC-009 / SRC-010 / SRC-011</x:v>
      </x:c>
    </x:row>
    <x:row r="15">
      <x:c r="A15" s="12" t="str">
        <x:v>化学原料和制品制造</x:v>
      </x:c>
      <x:c r="B15" s="73" t="n">
        <x:v>-0.041</x:v>
      </x:c>
      <x:c r="C15" s="73" t="n">
        <x:v>-0.044</x:v>
      </x:c>
      <x:c r="D15" s="73" t="n">
        <x:v>0.113</x:v>
      </x:c>
      <x:c r="E15" s="12" t="str">
        <x:v>2026反弹</x:v>
      </x:c>
      <x:c r="F15" s="12" t="str">
        <x:v>工艺化学品风险</x:v>
      </x:c>
      <x:c r="G15" s="74" t="str">
        <x:v>SRC-009 / SRC-010 / SRC-011</x:v>
      </x:c>
    </x:row>
    <x:row r="16">
      <x:c r="A16" s="12" t="str">
        <x:v>医药制造</x:v>
      </x:c>
      <x:c r="B16" s="73" t="n">
        <x:v>-0.008</x:v>
      </x:c>
      <x:c r="C16" s="73" t="n">
        <x:v>-0.015</x:v>
      </x:c>
      <x:c r="D16" s="73" t="n">
        <x:v>-0.045</x:v>
      </x:c>
      <x:c r="E16" s="12" t="str">
        <x:v>持续下行</x:v>
      </x:c>
      <x:c r="F16" s="12" t="str">
        <x:v>成品/服务价格压力</x:v>
      </x:c>
      <x:c r="G16" s="74" t="str">
        <x:v>SRC-009 / SRC-010 / SRC-011</x:v>
      </x:c>
    </x:row>
    <x:row r="19">
      <x:c r="A19" s="10" t="str">
        <x:v>12条有效寡核苷酸折扣敏感性</x:v>
      </x:c>
      <x:c r="B19" s="10"/>
      <x:c r="C19" s="10"/>
      <x:c r="D19" s="10"/>
      <x:c r="E19" s="10"/>
    </x:row>
    <x:row r="20">
      <x:c r="A20" s="25" t="str">
        <x:v>折扣</x:v>
      </x:c>
      <x:c r="B20" s="26" t="str">
        <x:v>S1首年资金</x:v>
      </x:c>
      <x:c r="C20" s="26" t="str">
        <x:v>S2首年资金</x:v>
      </x:c>
      <x:c r="D20" s="26" t="str">
        <x:v>S3首年资金</x:v>
      </x:c>
      <x:c r="E20" s="27" t="str">
        <x:v>适用条件</x:v>
      </x:c>
    </x:row>
    <x:row r="21">
      <x:c r="A21" s="37" t="n">
        <x:v>0</x:v>
      </x:c>
      <x:c r="B21" s="71" t="n">
        <x:f>ROUND(D6*(1+'02_假设与情景'!$B$10)+E6*(1+'02_假设与情景'!$B$11)+ROUND(F6-G6+G6*(1-A21),2)+ROUND(F6-G6+G6*(1-A21),2)/12*'02_假设与情景'!$B$12,2)</x:f>
        <x:v>24386931.26</x:v>
      </x:c>
      <x:c r="C21" s="71" t="n">
        <x:f>ROUND(D7*(1+'02_假设与情景'!$B$10)+E7*(1+'02_假设与情景'!$B$11)+ROUND(F7-G7+G7*(1-A21),2)+ROUND(F7-G7+G7*(1-A21),2)/12*'02_假设与情景'!$B$12,2)</x:f>
        <x:v>40989927.57</x:v>
      </x:c>
      <x:c r="D21" s="71" t="n">
        <x:f>ROUND(D8*(1+'02_假设与情景'!$B$10)+E8*(1+'02_假设与情景'!$B$11)+ROUND(F8-G8+G8*(1-A21),2)+ROUND(F8-G8+G8*(1-A21),2)/12*'02_假设与情景'!$B$12,2)</x:f>
        <x:v>79864343.31</x:v>
      </x:c>
      <x:c r="E21" s="12" t="str">
        <x:v>研发/中试：小批量，按当前代理价</x:v>
      </x:c>
    </x:row>
    <x:row r="22">
      <x:c r="A22" s="37" t="n">
        <x:v>0.25</x:v>
      </x:c>
      <x:c r="B22" s="71" t="n">
        <x:f>ROUND(D6*(1+'02_假设与情景'!$B$10)+E6*(1+'02_假设与情景'!$B$11)+ROUND(F6-G6+G6*(1-A22),2)+ROUND(F6-G6+G6*(1-A22),2)/12*'02_假设与情景'!$B$12,2)</x:f>
        <x:v>24225614.89</x:v>
      </x:c>
      <x:c r="C22" s="71" t="n">
        <x:f>ROUND(D7*(1+'02_假设与情景'!$B$10)+E7*(1+'02_假设与情景'!$B$11)+ROUND(F7-G7+G7*(1-A22),2)+ROUND(F7-G7+G7*(1-A22),2)/12*'02_假设与情景'!$B$12,2)</x:f>
        <x:v>40183345.75</x:v>
      </x:c>
      <x:c r="D22" s="71" t="n">
        <x:f>ROUND(D8*(1+'02_假设与情景'!$B$10)+E8*(1+'02_假设与情景'!$B$11)+ROUND(F8-G8+G8*(1-A22),2)+ROUND(F8-G8+G8*(1-A22),2)/12*'02_假设与情景'!$B$12,2)</x:f>
        <x:v>76638016.07</x:v>
      </x:c>
      <x:c r="E22" s="12" t="str">
        <x:v>推荐：年度框架、双来源谈判目标</x:v>
      </x:c>
    </x:row>
    <x:row r="23">
      <x:c r="A23" s="37" t="n">
        <x:v>0.4</x:v>
      </x:c>
      <x:c r="B23" s="71" t="n">
        <x:f>ROUND(D6*(1+'02_假设与情景'!$B$10)+E6*(1+'02_假设与情景'!$B$11)+ROUND(F6-G6+G6*(1-A23),2)+ROUND(F6-G6+G6*(1-A23),2)/12*'02_假设与情景'!$B$12,2)</x:f>
        <x:v>24128825.08</x:v>
      </x:c>
      <x:c r="C23" s="71" t="n">
        <x:f>ROUND(D7*(1+'02_假设与情景'!$B$10)+E7*(1+'02_假设与情景'!$B$11)+ROUND(F7-G7+G7*(1-A23),2)+ROUND(F7-G7+G7*(1-A23),2)/12*'02_假设与情景'!$B$12,2)</x:f>
        <x:v>39699396.67</x:v>
      </x:c>
      <x:c r="D23" s="71" t="n">
        <x:f>ROUND(D8*(1+'02_假设与情景'!$B$10)+E8*(1+'02_假设与情景'!$B$11)+ROUND(F8-G8+G8*(1-A23),2)+ROUND(F8-G8+G8*(1-A23),2)/12*'02_假设与情景'!$B$12,2)</x:f>
        <x:v>74702219.72</x:v>
      </x:c>
      <x:c r="E23" s="12" t="str">
        <x:v>激进：多年框架+MOQ/交付锁定后才可用</x:v>
      </x:c>
    </x:row>
    <x:row r="26">
      <x:c r="A26" s="10" t="str">
        <x:v>采购执行建议</x:v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</x:row>
    <x:row r="27">
      <x:c r="A27" s="75" t="str">
        <x:v>A：10,000盒研发/中试。12条寡核苷酸全部外包、小包装分批下单；七管库存体积已按核心流程闭合，重点验证750 nM CP/1140 nM F库存到研究反应浓度的稀释、0.02%/0.03%与0.5% Tween-20以及37/42℃和两套滤光参数，接受较高单价换取低库存风险。</x:v>
      </x:c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</x:row>
    <x:row r="28">
      <x:c r="A28" s="75" t="str">
        <x:v>B：50,000盒平衡商业化（推荐）。仅在A方案完成CD稀释/动力学验证和三批小试后放大；P/C/F至少双来源，H1-H7与两条引物打包年度RFQ。25%仅作谈判目标，需锁定MOQ、交期、纯化、质控、税运和失败重合成责任。</x:v>
      </x:c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</x:row>
    <x:row r="29">
      <x:c r="A29" s="75" t="str">
        <x:v>C：200,000盒规模量产。仅在最终产品配方、设备URS、订单、三批一致性和多年框架采购均锁定时采用；40%为激进敏感性，修饰寡核苷酸仍需分批交付并保留第二来源。</x:v>
      </x:c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</x:row>
  </x:sheetData>
  <x:mergeCells>
    <x:mergeCell ref="A1:K1"/>
    <x:mergeCell ref="A2:K2"/>
    <x:mergeCell ref="A4:K4"/>
    <x:mergeCell ref="A11:G11"/>
    <x:mergeCell ref="A19:E19"/>
    <x:mergeCell ref="A26:K26"/>
    <x:mergeCell ref="A27:K27"/>
    <x:mergeCell ref="A28:K28"/>
    <x:mergeCell ref="A29:K29"/>
  </x:mergeCells>
  <x:pageMargins left="0.7" right="0.7" top="0.75" bottom="0.75" header="0.3" footer="0.3"/>
</x:worksheet>
</file>